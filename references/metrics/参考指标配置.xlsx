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 activeTab="2"/>
  </bookViews>
  <sheets>
    <sheet name="参考指标" sheetId="1" r:id="rId1"/>
    <sheet name="使用说明" sheetId="2" r:id="rId2"/>
    <sheet name="类别概览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<sst xmlns="http://schemas.openxmlformats.org/spreadsheetml/2006/main" count="1773" uniqueCount="912">
  <si>
    <t>参考指标影响系数</t>
  </si>
  <si>
    <t>指标ID</t>
  </si>
  <si>
    <t>指标名称</t>
  </si>
  <si>
    <t>指标类别</t>
  </si>
  <si>
    <t>是否启用</t>
  </si>
  <si>
    <t>判断方向</t>
  </si>
  <si>
    <t>建议阈值</t>
  </si>
  <si>
    <t>指标说明</t>
  </si>
  <si>
    <t>对应脚本</t>
  </si>
  <si>
    <t>修改备注</t>
  </si>
  <si>
    <t>M001</t>
  </si>
  <si>
    <t>问题清晰度</t>
  </si>
  <si>
    <t>查询意图</t>
  </si>
  <si>
    <t>是</t>
  </si>
  <si>
    <t>越高越好</t>
  </si>
  <si>
    <t>从查询意图角度评估问题清晰度；运行时按 Excel 第一列影响系数参与加权。</t>
  </si>
  <si>
    <t>scripts/operators/query_intent/m001_query_clarity.py</t>
  </si>
  <si>
    <t/>
  </si>
  <si>
    <t>M002</t>
  </si>
  <si>
    <t>查询长度适宜度</t>
  </si>
  <si>
    <t>从查询意图角度评估查询长度适宜度；运行时按 Excel 第一列影响系数参与加权。</t>
  </si>
  <si>
    <t>scripts/operators/query_intent/m002_query_length.py</t>
  </si>
  <si>
    <t>M003</t>
  </si>
  <si>
    <t>任务动词明确度</t>
  </si>
  <si>
    <t>从查询意图角度评估任务动词明确度；运行时按 Excel 第一列影响系数参与加权。</t>
  </si>
  <si>
    <t>scripts/operators/query_intent/m003_query_action.py</t>
  </si>
  <si>
    <t>M004</t>
  </si>
  <si>
    <t>检索范围完整度</t>
  </si>
  <si>
    <t>从查询意图角度评估检索范围完整度；运行时按 Excel 第一列影响系数参与加权。</t>
  </si>
  <si>
    <t>scripts/operators/query_intent/m004_query_scope.py</t>
  </si>
  <si>
    <t>M005</t>
  </si>
  <si>
    <t>时间范围明确度</t>
  </si>
  <si>
    <t>从查询意图角度评估时间范围明确度；运行时按 Excel 第一列影响系数参与加权。</t>
  </si>
  <si>
    <t>scripts/operators/query_intent/m005_query_time.py</t>
  </si>
  <si>
    <t>M006</t>
  </si>
  <si>
    <t>地域范围明确度</t>
  </si>
  <si>
    <t>从查询意图角度评估地域范围明确度；运行时按 Excel 第一列影响系数参与加权。</t>
  </si>
  <si>
    <t>scripts/operators/query_intent/m006_query_location.py</t>
  </si>
  <si>
    <t>M007</t>
  </si>
  <si>
    <t>比较对象完整度</t>
  </si>
  <si>
    <t>从查询意图角度评估比较对象完整度；运行时按 Excel 第一列影响系数参与加权。</t>
  </si>
  <si>
    <t>scripts/operators/query_intent/m007_query_compare.py</t>
  </si>
  <si>
    <t>M008</t>
  </si>
  <si>
    <t>输出格式明确度</t>
  </si>
  <si>
    <t>从查询意图角度评估输出格式明确度；运行时按 Excel 第一列影响系数参与加权。</t>
  </si>
  <si>
    <t>scripts/operators/query_intent/m008_query_output.py</t>
  </si>
  <si>
    <t>M009</t>
  </si>
  <si>
    <t>风险敏感度</t>
  </si>
  <si>
    <t>从查询意图角度评估风险敏感度；运行时按 Excel 第一列影响系数参与加权。</t>
  </si>
  <si>
    <t>scripts/operators/query_intent/m009_query_risk.py</t>
  </si>
  <si>
    <t>M010</t>
  </si>
  <si>
    <t>实体信息密度</t>
  </si>
  <si>
    <t>从查询意图角度评估实体信息密度；运行时按 Excel 第一列影响系数参与加权。</t>
  </si>
  <si>
    <t>scripts/operators/query_intent/m010_query_entity_density.py</t>
  </si>
  <si>
    <t>M011</t>
  </si>
  <si>
    <t>数值条件完整度</t>
  </si>
  <si>
    <t>从查询意图角度评估数值条件完整度；运行时按 Excel 第一列影响系数参与加权。</t>
  </si>
  <si>
    <t>scripts/operators/query_intent/m011_query_numeric.py</t>
  </si>
  <si>
    <t>M012</t>
  </si>
  <si>
    <t>否定约束识别度</t>
  </si>
  <si>
    <t>从查询意图角度评估否定约束识别度；运行时按 Excel 第一列影响系数参与加权。</t>
  </si>
  <si>
    <t>scripts/operators/query_intent/m012_query_negative.py</t>
  </si>
  <si>
    <t>M013</t>
  </si>
  <si>
    <t>歧义控制度</t>
  </si>
  <si>
    <t>越低越好</t>
  </si>
  <si>
    <t>从查询意图角度评估歧义控制度；运行时按 Excel 第一列影响系数参与加权。</t>
  </si>
  <si>
    <t>scripts/operators/query_intent/m013_query_ambiguity.py</t>
  </si>
  <si>
    <t>M014</t>
  </si>
  <si>
    <t>领域术语密度</t>
  </si>
  <si>
    <t>从查询意图角度评估领域术语密度；运行时按 Excel 第一列影响系数参与加权。</t>
  </si>
  <si>
    <t>scripts/operators/query_intent/m014_query_domain_density.py</t>
  </si>
  <si>
    <t>M015</t>
  </si>
  <si>
    <t>子问题可分解度</t>
  </si>
  <si>
    <t>从查询意图角度评估子问题可分解度；运行时按 Excel 第一列影响系数参与加权。</t>
  </si>
  <si>
    <t>scripts/operators/query_intent/m015_subquestion_count.py</t>
  </si>
  <si>
    <t>M016</t>
  </si>
  <si>
    <t>中英文混合可解释度</t>
  </si>
  <si>
    <t>从查询意图角度评估中英文混合可解释度；运行时按 Excel 第一列影响系数参与加权。</t>
  </si>
  <si>
    <t>scripts/operators/query_intent/m016_query_multilingual.py</t>
  </si>
  <si>
    <t>M017</t>
  </si>
  <si>
    <t>罕见词保护度</t>
  </si>
  <si>
    <t>从查询意图角度评估罕见词保护度；运行时按 Excel 第一列影响系数参与加权。</t>
  </si>
  <si>
    <t>scripts/operators/query_intent/m017_query_rare_density.py</t>
  </si>
  <si>
    <t>M018</t>
  </si>
  <si>
    <t>无效口语抑制度</t>
  </si>
  <si>
    <t>从查询意图角度评估无效口语抑制度；运行时按 Excel 第一列影响系数参与加权。</t>
  </si>
  <si>
    <t>scripts/operators/query_intent/m018_query_stopword_ratio.py</t>
  </si>
  <si>
    <t>M019</t>
  </si>
  <si>
    <t>同义词扩展覆盖</t>
  </si>
  <si>
    <t>查询扩展</t>
  </si>
  <si>
    <t>从查询扩展角度评估同义词扩展覆盖；运行时按 Excel 第一列影响系数参与加权。</t>
  </si>
  <si>
    <t>scripts/operators/query_expansion/m019_expansion_synonym.py</t>
  </si>
  <si>
    <t>M020</t>
  </si>
  <si>
    <t>别名扩展覆盖</t>
  </si>
  <si>
    <t>从查询扩展角度评估别名扩展覆盖；运行时按 Excel 第一列影响系数参与加权。</t>
  </si>
  <si>
    <t>scripts/operators/query_expansion/m020_expansion_alias.py</t>
  </si>
  <si>
    <t>M021</t>
  </si>
  <si>
    <t>缩写展开覆盖</t>
  </si>
  <si>
    <t>从查询扩展角度评估缩写展开覆盖；运行时按 Excel 第一列影响系数参与加权。</t>
  </si>
  <si>
    <t>scripts/operators/query_expansion/m021_expansion_acronym.py</t>
  </si>
  <si>
    <t>M022</t>
  </si>
  <si>
    <t>中英文映射覆盖</t>
  </si>
  <si>
    <t>从查询扩展角度评估中英文映射覆盖；运行时按 Excel 第一列影响系数参与加权。</t>
  </si>
  <si>
    <t>scripts/operators/query_expansion/m022_expansion_cross_language.py</t>
  </si>
  <si>
    <t>M023</t>
  </si>
  <si>
    <t>实体变体覆盖</t>
  </si>
  <si>
    <t>从查询扩展角度评估实体变体覆盖；运行时按 Excel 第一列影响系数参与加权。</t>
  </si>
  <si>
    <t>scripts/operators/query_expansion/m023_expansion_entity.py</t>
  </si>
  <si>
    <t>M024</t>
  </si>
  <si>
    <t>时间表达变体覆盖</t>
  </si>
  <si>
    <t>从查询扩展角度评估时间表达变体覆盖；运行时按 Excel 第一列影响系数参与加权。</t>
  </si>
  <si>
    <t>scripts/operators/query_expansion/m024_expansion_time.py</t>
  </si>
  <si>
    <t>M025</t>
  </si>
  <si>
    <t>地域表达变体覆盖</t>
  </si>
  <si>
    <t>从查询扩展角度评估地域表达变体覆盖；运行时按 Excel 第一列影响系数参与加权。</t>
  </si>
  <si>
    <t>scripts/operators/query_expansion/m025_expansion_location.py</t>
  </si>
  <si>
    <t>M026</t>
  </si>
  <si>
    <t>上位概念覆盖</t>
  </si>
  <si>
    <t>从查询扩展角度评估上位概念覆盖；运行时按 Excel 第一列影响系数参与加权。</t>
  </si>
  <si>
    <t>scripts/operators/query_expansion/m026_expansion_hypernym.py</t>
  </si>
  <si>
    <t>M027</t>
  </si>
  <si>
    <t>下位概念覆盖</t>
  </si>
  <si>
    <t>从查询扩展角度评估下位概念覆盖；运行时按 Excel 第一列影响系数参与加权。</t>
  </si>
  <si>
    <t>scripts/operators/query_expansion/m027_expansion_hyponym.py</t>
  </si>
  <si>
    <t>M028</t>
  </si>
  <si>
    <t>相关动作覆盖</t>
  </si>
  <si>
    <t>从查询扩展角度评估相关动作覆盖；运行时按 Excel 第一列影响系数参与加权。</t>
  </si>
  <si>
    <t>scripts/operators/query_expansion/m028_expansion_action.py</t>
  </si>
  <si>
    <t>M029</t>
  </si>
  <si>
    <t>否定词保留度</t>
  </si>
  <si>
    <t>从查询扩展角度评估否定词保留度；运行时按 Excel 第一列影响系数参与加权。</t>
  </si>
  <si>
    <t>scripts/operators/query_expansion/m029_query_negative.py</t>
  </si>
  <si>
    <t>M030</t>
  </si>
  <si>
    <t>问题拆解覆盖</t>
  </si>
  <si>
    <t>从查询扩展角度评估问题拆解覆盖；运行时按 Excel 第一列影响系数参与加权。</t>
  </si>
  <si>
    <t>scripts/operators/query_expansion/m030_subquestion_count.py</t>
  </si>
  <si>
    <t>M031</t>
  </si>
  <si>
    <t>短语保留度</t>
  </si>
  <si>
    <t>从查询扩展角度评估短语保留度；运行时按 Excel 第一列影响系数参与加权。</t>
  </si>
  <si>
    <t>scripts/operators/query_expansion/m031_query_phrase_density.py</t>
  </si>
  <si>
    <t>M032</t>
  </si>
  <si>
    <t>模糊拼写容错</t>
  </si>
  <si>
    <t>从查询扩展角度评估模糊拼写容错；运行时按 Excel 第一列影响系数参与加权。</t>
  </si>
  <si>
    <t>scripts/operators/query_expansion/m032_query_cleanliness.py</t>
  </si>
  <si>
    <t>M033</t>
  </si>
  <si>
    <t>数值单位归一度</t>
  </si>
  <si>
    <t>从查询扩展角度评估数值单位归一度；运行时按 Excel 第一列影响系数参与加权。</t>
  </si>
  <si>
    <t>scripts/operators/query_expansion/m033_normalization_numeric.py</t>
  </si>
  <si>
    <t>M034</t>
  </si>
  <si>
    <t>日期表达归一度</t>
  </si>
  <si>
    <t>从查询扩展角度评估日期表达归一度；运行时按 Excel 第一列影响系数参与加权。</t>
  </si>
  <si>
    <t>scripts/operators/query_expansion/m034_normalization_date.py</t>
  </si>
  <si>
    <t>M035</t>
  </si>
  <si>
    <t>停用词清理度</t>
  </si>
  <si>
    <t>从查询扩展角度评估停用词清理度；运行时按 Excel 第一列影响系数参与加权。</t>
  </si>
  <si>
    <t>scripts/operators/query_expansion/m035_query_stopword_ratio.py</t>
  </si>
  <si>
    <t>M036</t>
  </si>
  <si>
    <t>扩展预算合理度</t>
  </si>
  <si>
    <t>从查询扩展角度评估扩展预算合理度；运行时按 Excel 第一列影响系数参与加权。</t>
  </si>
  <si>
    <t>scripts/operators/query_expansion/m036_expanded_term_count.py</t>
  </si>
  <si>
    <t>M037</t>
  </si>
  <si>
    <t>来源数量充足度</t>
  </si>
  <si>
    <t>来源接入</t>
  </si>
  <si>
    <t>从来源接入角度评估来源数量充足度；运行时按 Excel 第一列影响系数参与加权。</t>
  </si>
  <si>
    <t>scripts/operators/source_ingestion/m037_source_count.py</t>
  </si>
  <si>
    <t>M038</t>
  </si>
  <si>
    <t>来源可读比例</t>
  </si>
  <si>
    <t>从来源接入角度评估来源可读比例；运行时按 Excel 第一列影响系数参与加权。</t>
  </si>
  <si>
    <t>scripts/operators/source_ingestion/m038_readable_ratio.py</t>
  </si>
  <si>
    <t>M039</t>
  </si>
  <si>
    <t>来源类型多样性</t>
  </si>
  <si>
    <t>从来源接入角度评估来源类型多样性；运行时按 Excel 第一列影响系数参与加权。</t>
  </si>
  <si>
    <t>scripts/operators/source_ingestion/m039_source_type_diversity.py</t>
  </si>
  <si>
    <t>M040</t>
  </si>
  <si>
    <t>目录覆盖率</t>
  </si>
  <si>
    <t>从来源接入角度评估目录覆盖率；运行时按 Excel 第一列影响系数参与加权。</t>
  </si>
  <si>
    <t>scripts/operators/source_ingestion/m040_source_path_coverage.py</t>
  </si>
  <si>
    <t>M041</t>
  </si>
  <si>
    <t>文本总量充足度</t>
  </si>
  <si>
    <t>从来源接入角度评估文本总量充足度；运行时按 Excel 第一列影响系数参与加权。</t>
  </si>
  <si>
    <t>scripts/operators/source_ingestion/m041_total_chars.py</t>
  </si>
  <si>
    <t>M042</t>
  </si>
  <si>
    <t>单源规模均衡度</t>
  </si>
  <si>
    <t>从来源接入角度评估单源规模均衡度；运行时按 Excel 第一列影响系数参与加权。</t>
  </si>
  <si>
    <t>scripts/operators/source_ingestion/m042_source_size_balance.py</t>
  </si>
  <si>
    <t>M043</t>
  </si>
  <si>
    <t>空内容抑制度</t>
  </si>
  <si>
    <t>从来源接入角度评估空内容抑制度；运行时按 Excel 第一列影响系数参与加权。</t>
  </si>
  <si>
    <t>scripts/operators/source_ingestion/m043_empty_source_ratio.py</t>
  </si>
  <si>
    <t>M044</t>
  </si>
  <si>
    <t>重复路径抑制度</t>
  </si>
  <si>
    <t>从来源接入角度评估重复路径抑制度；运行时按 Excel 第一列影响系数参与加权。</t>
  </si>
  <si>
    <t>scripts/operators/source_ingestion/m044_duplicate_source_ratio.py</t>
  </si>
  <si>
    <t>M045</t>
  </si>
  <si>
    <t>编码解析成功率</t>
  </si>
  <si>
    <t>从来源接入角度评估编码解析成功率；运行时按 Excel 第一列影响系数参与加权。</t>
  </si>
  <si>
    <t>scripts/operators/source_ingestion/m045_encoding_success_ratio.py</t>
  </si>
  <si>
    <t>M046</t>
  </si>
  <si>
    <t>文件大小安全度</t>
  </si>
  <si>
    <t>从来源接入角度评估文件大小安全度；运行时按 Excel 第一列影响系数参与加权。</t>
  </si>
  <si>
    <t>scripts/operators/source_ingestion/m046_file_safety_ratio.py</t>
  </si>
  <si>
    <t>M047</t>
  </si>
  <si>
    <t>PDF解析成功率</t>
  </si>
  <si>
    <t>从来源接入角度评估PDF解析成功率；运行时按 Excel 第一列影响系数参与加权。</t>
  </si>
  <si>
    <t>scripts/operators/source_ingestion/m047_pdf_success_ratio.py</t>
  </si>
  <si>
    <t>M048</t>
  </si>
  <si>
    <t>Office解析成功率</t>
  </si>
  <si>
    <t>从来源接入角度评估Office解析成功率；运行时按 Excel 第一列影响系数参与加权。</t>
  </si>
  <si>
    <t>scripts/operators/source_ingestion/m048_office_success_ratio.py</t>
  </si>
  <si>
    <t>M049</t>
  </si>
  <si>
    <t>HTML噪声抑制度</t>
  </si>
  <si>
    <t>从来源接入角度评估HTML噪声抑制度；运行时按 Excel 第一列影响系数参与加权。</t>
  </si>
  <si>
    <t>scripts/operators/source_ingestion/m049_html_clean_ratio.py</t>
  </si>
  <si>
    <t>M050</t>
  </si>
  <si>
    <t>结构化记录覆盖</t>
  </si>
  <si>
    <t>从来源接入角度评估结构化记录覆盖；运行时按 Excel 第一列影响系数参与加权。</t>
  </si>
  <si>
    <t>scripts/operators/source_ingestion/m050_structured_source_ratio.py</t>
  </si>
  <si>
    <t>M051</t>
  </si>
  <si>
    <t>来源元数据完整度</t>
  </si>
  <si>
    <t>从来源接入角度评估来源元数据完整度；运行时按 Excel 第一列影响系数参与加权。</t>
  </si>
  <si>
    <t>scripts/operators/source_ingestion/m051_metadata_coverage.py</t>
  </si>
  <si>
    <t>M052</t>
  </si>
  <si>
    <t>来源名称可辨识度</t>
  </si>
  <si>
    <t>从来源接入角度评估来源名称可辨识度；运行时按 Excel 第一列影响系数参与加权。</t>
  </si>
  <si>
    <t>scripts/operators/source_ingestion/m052_source_name_quality.py</t>
  </si>
  <si>
    <t>M053</t>
  </si>
  <si>
    <t>时间元数据覆盖</t>
  </si>
  <si>
    <t>从来源接入角度评估时间元数据覆盖；运行时按 Excel 第一列影响系数参与加权。</t>
  </si>
  <si>
    <t>scripts/operators/source_ingestion/m053_recency_metadata_ratio.py</t>
  </si>
  <si>
    <t>M054</t>
  </si>
  <si>
    <t>接入告警可控度</t>
  </si>
  <si>
    <t>从来源接入角度评估接入告警可控度；运行时按 Excel 第一列影响系数参与加权。</t>
  </si>
  <si>
    <t>scripts/operators/source_ingestion/m054_warning_ratio.py</t>
  </si>
  <si>
    <t>M055</t>
  </si>
  <si>
    <t>有效字符保留率</t>
  </si>
  <si>
    <t>内容规范化</t>
  </si>
  <si>
    <t>从内容规范化角度评估有效字符保留率；运行时按 Excel 第一列影响系数参与加权。</t>
  </si>
  <si>
    <t>scripts/operators/normalization/m055_char_retention_ratio.py</t>
  </si>
  <si>
    <t>M056</t>
  </si>
  <si>
    <t>空白清理度</t>
  </si>
  <si>
    <t>从内容规范化角度评估空白清理度；运行时按 Excel 第一列影响系数参与加权。</t>
  </si>
  <si>
    <t>scripts/operators/normalization/m056_whitespace_clean_ratio.py</t>
  </si>
  <si>
    <t>M057</t>
  </si>
  <si>
    <t>控制字符清理度</t>
  </si>
  <si>
    <t>从内容规范化角度评估控制字符清理度；运行时按 Excel 第一列影响系数参与加权。</t>
  </si>
  <si>
    <t>scripts/operators/normalization/m057_control_clean_ratio.py</t>
  </si>
  <si>
    <t>M058</t>
  </si>
  <si>
    <t>Unicode规范度</t>
  </si>
  <si>
    <t>从内容规范化角度评估Unicode规范度；运行时按 Excel 第一列影响系数参与加权。</t>
  </si>
  <si>
    <t>scripts/operators/normalization/m058_unicode_normal_ratio.py</t>
  </si>
  <si>
    <t>M059</t>
  </si>
  <si>
    <t>中文标点兼容度</t>
  </si>
  <si>
    <t>从内容规范化角度评估中文标点兼容度；运行时按 Excel 第一列影响系数参与加权。</t>
  </si>
  <si>
    <t>scripts/operators/normalization/m059_punctuation_compat_ratio.py</t>
  </si>
  <si>
    <t>M060</t>
  </si>
  <si>
    <t>HTML残留抑制度</t>
  </si>
  <si>
    <t>从内容规范化角度评估HTML残留抑制度；运行时按 Excel 第一列影响系数参与加权。</t>
  </si>
  <si>
    <t>scripts/operators/normalization/m060_html_residue_ratio.py</t>
  </si>
  <si>
    <t>M061</t>
  </si>
  <si>
    <t>模板噪声抑制度</t>
  </si>
  <si>
    <t>从内容规范化角度评估模板噪声抑制度；运行时按 Excel 第一列影响系数参与加权。</t>
  </si>
  <si>
    <t>scripts/operators/normalization/m061_boilerplate_ratio.py</t>
  </si>
  <si>
    <t>M062</t>
  </si>
  <si>
    <t>段落结构保留度</t>
  </si>
  <si>
    <t>从内容规范化角度评估段落结构保留度；运行时按 Excel 第一列影响系数参与加权。</t>
  </si>
  <si>
    <t>scripts/operators/normalization/m062_paragraph_structure_ratio.py</t>
  </si>
  <si>
    <t>M063</t>
  </si>
  <si>
    <t>表格分隔保留度</t>
  </si>
  <si>
    <t>从内容规范化角度评估表格分隔保留度；运行时按 Excel 第一列影响系数参与加权。</t>
  </si>
  <si>
    <t>scripts/operators/normalization/m063_table_structure_ratio.py</t>
  </si>
  <si>
    <t>M064</t>
  </si>
  <si>
    <t>链接格式规范度</t>
  </si>
  <si>
    <t>从内容规范化角度评估链接格式规范度；运行时按 Excel 第一列影响系数参与加权。</t>
  </si>
  <si>
    <t>scripts/operators/normalization/m064_url_normal_ratio.py</t>
  </si>
  <si>
    <t>M065</t>
  </si>
  <si>
    <t>数字格式规范度</t>
  </si>
  <si>
    <t>从内容规范化角度评估数字格式规范度；运行时按 Excel 第一列影响系数参与加权。</t>
  </si>
  <si>
    <t>scripts/operators/normalization/m065_normalization_numeric.py</t>
  </si>
  <si>
    <t>M066</t>
  </si>
  <si>
    <t>日期格式规范度</t>
  </si>
  <si>
    <t>从内容规范化角度评估日期格式规范度；运行时按 Excel 第一列影响系数参与加权。</t>
  </si>
  <si>
    <t>scripts/operators/normalization/m066_normalization_date.py</t>
  </si>
  <si>
    <t>M067</t>
  </si>
  <si>
    <t>单位格式规范度</t>
  </si>
  <si>
    <t>从内容规范化角度评估单位格式规范度；运行时按 Excel 第一列影响系数参与加权。</t>
  </si>
  <si>
    <t>scripts/operators/normalization/m067_normalization_unit.py</t>
  </si>
  <si>
    <t>M068</t>
  </si>
  <si>
    <t>英文大小写规范度</t>
  </si>
  <si>
    <t>从内容规范化角度评估英文大小写规范度；运行时按 Excel 第一列影响系数参与加权。</t>
  </si>
  <si>
    <t>scripts/operators/normalization/m068_case_normal_ratio.py</t>
  </si>
  <si>
    <t>M069</t>
  </si>
  <si>
    <t>重复字符抑制度</t>
  </si>
  <si>
    <t>从内容规范化角度评估重复字符抑制度；运行时按 Excel 第一列影响系数参与加权。</t>
  </si>
  <si>
    <t>scripts/operators/normalization/m069_repeat_char_ratio.py</t>
  </si>
  <si>
    <t>M070</t>
  </si>
  <si>
    <t>分段边界质量</t>
  </si>
  <si>
    <t>从内容规范化角度评估分段边界质量；运行时按 Excel 第一列影响系数参与加权。</t>
  </si>
  <si>
    <t>scripts/operators/normalization/m070_chunk_boundary_quality.py</t>
  </si>
  <si>
    <t>M071</t>
  </si>
  <si>
    <t>长行切分质量</t>
  </si>
  <si>
    <t>从内容规范化角度评估长行切分质量；运行时按 Excel 第一列影响系数参与加权。</t>
  </si>
  <si>
    <t>scripts/operators/normalization/m071_long_line_control.py</t>
  </si>
  <si>
    <t>M072</t>
  </si>
  <si>
    <t>规范化告警可控度</t>
  </si>
  <si>
    <t>从内容规范化角度评估规范化告警可控度；运行时按 Excel 第一列影响系数参与加权。</t>
  </si>
  <si>
    <t>scripts/operators/normalization/m072_warning_ratio.py</t>
  </si>
  <si>
    <t>M073</t>
  </si>
  <si>
    <t>首条相关性</t>
  </si>
  <si>
    <t>语义检索</t>
  </si>
  <si>
    <t>从语义检索角度评估首条相关性；运行时按 Excel 第一列影响系数参与加权。</t>
  </si>
  <si>
    <t>scripts/operators/retrieval/m073_top_score.py</t>
  </si>
  <si>
    <t>M074</t>
  </si>
  <si>
    <t>前五条查询覆盖</t>
  </si>
  <si>
    <t>从语义检索角度评估前五条查询覆盖；运行时按 Excel 第一列影响系数参与加权。</t>
  </si>
  <si>
    <t>scripts/operators/retrieval/m074_top_query_coverage.py</t>
  </si>
  <si>
    <t>M075</t>
  </si>
  <si>
    <t>BM25分差清晰度</t>
  </si>
  <si>
    <t>从语义检索角度评估BM25分差清晰度；运行时按 Excel 第一列影响系数参与加权。</t>
  </si>
  <si>
    <t>scripts/operators/retrieval/m075_score_margin.py</t>
  </si>
  <si>
    <t>M076</t>
  </si>
  <si>
    <t>证据数量充足度</t>
  </si>
  <si>
    <t>从语义检索角度评估证据数量充足度；运行时按 Excel 第一列影响系数参与加权。</t>
  </si>
  <si>
    <t>scripts/operators/retrieval/m076_evidence_count.py</t>
  </si>
  <si>
    <t>M077</t>
  </si>
  <si>
    <t>来源召回覆盖率</t>
  </si>
  <si>
    <t>从语义检索角度评估来源召回覆盖率；运行时按 Excel 第一列影响系数参与加权。</t>
  </si>
  <si>
    <t>scripts/operators/retrieval/m077_source_coverage.py</t>
  </si>
  <si>
    <t>M078</t>
  </si>
  <si>
    <t>前列来源多样性</t>
  </si>
  <si>
    <t>从语义检索角度评估前列来源多样性；运行时按 Excel 第一列影响系数参与加权。</t>
  </si>
  <si>
    <t>scripts/operators/retrieval/m078_evidence_diversity.py</t>
  </si>
  <si>
    <t>M079</t>
  </si>
  <si>
    <t>词项重合度</t>
  </si>
  <si>
    <t>从语义检索角度评估词项重合度；运行时按 Excel 第一列影响系数参与加权。</t>
  </si>
  <si>
    <t>scripts/operators/retrieval/m079_token_overlap.py</t>
  </si>
  <si>
    <t>M080</t>
  </si>
  <si>
    <t>完整短语命中度</t>
  </si>
  <si>
    <t>从语义检索角度评估完整短语命中度；运行时按 Excel 第一列影响系数参与加权。</t>
  </si>
  <si>
    <t>scripts/operators/retrieval/m080_exact_phrase_hit.py</t>
  </si>
  <si>
    <t>M081</t>
  </si>
  <si>
    <t>实体命中度</t>
  </si>
  <si>
    <t>从语义检索角度评估实体命中度；运行时按 Excel 第一列影响系数参与加权。</t>
  </si>
  <si>
    <t>scripts/operators/retrieval/m081_entity_hit.py</t>
  </si>
  <si>
    <t>M082</t>
  </si>
  <si>
    <t>数值条件命中度</t>
  </si>
  <si>
    <t>从语义检索角度评估数值条件命中度；运行时按 Excel 第一列影响系数参与加权。</t>
  </si>
  <si>
    <t>scripts/operators/retrieval/m082_numeric_hit.py</t>
  </si>
  <si>
    <t>M083</t>
  </si>
  <si>
    <t>时间条件命中度</t>
  </si>
  <si>
    <t>从语义检索角度评估时间条件命中度；运行时按 Excel 第一列影响系数参与加权。</t>
  </si>
  <si>
    <t>scripts/operators/retrieval/m083_time_hit.py</t>
  </si>
  <si>
    <t>M084</t>
  </si>
  <si>
    <t>标题命中度</t>
  </si>
  <si>
    <t>从语义检索角度评估标题命中度；运行时按 Excel 第一列影响系数参与加权。</t>
  </si>
  <si>
    <t>scripts/operators/retrieval/m084_title_hit.py</t>
  </si>
  <si>
    <t>M085</t>
  </si>
  <si>
    <t>片段长度适宜度</t>
  </si>
  <si>
    <t>从语义检索角度评估片段长度适宜度；运行时按 Excel 第一列影响系数参与加权。</t>
  </si>
  <si>
    <t>scripts/operators/retrieval/m085_avg_evidence_length.py</t>
  </si>
  <si>
    <t>M086</t>
  </si>
  <si>
    <t>排序稳定度</t>
  </si>
  <si>
    <t>从语义检索角度评估排序稳定度；运行时按 Excel 第一列影响系数参与加权。</t>
  </si>
  <si>
    <t>scripts/operators/retrieval/m086_rank_stability.py</t>
  </si>
  <si>
    <t>M087</t>
  </si>
  <si>
    <t>低分结果抑制度</t>
  </si>
  <si>
    <t>从语义检索角度评估低分结果抑制度；运行时按 Excel 第一列影响系数参与加权。</t>
  </si>
  <si>
    <t>scripts/operators/retrieval/m087_low_score_ratio.py</t>
  </si>
  <si>
    <t>M088</t>
  </si>
  <si>
    <t>前列重复抑制度</t>
  </si>
  <si>
    <t>从语义检索角度评估前列重复抑制度；运行时按 Excel 第一列影响系数参与加权。</t>
  </si>
  <si>
    <t>scripts/operators/retrieval/m088_evidence_dup_ratio.py</t>
  </si>
  <si>
    <t>M089</t>
  </si>
  <si>
    <t>查询孤词抑制度</t>
  </si>
  <si>
    <t>从语义检索角度评估查询孤词抑制度；运行时按 Excel 第一列影响系数参与加权。</t>
  </si>
  <si>
    <t>scripts/operators/retrieval/m089_orphan_query_ratio.py</t>
  </si>
  <si>
    <t>M090</t>
  </si>
  <si>
    <t>检索时延可控度</t>
  </si>
  <si>
    <t>从语义检索角度评估检索时延可控度；运行时按 Excel 第一列影响系数参与加权。</t>
  </si>
  <si>
    <t>scripts/operators/retrieval/m090_retrieval_latency_ms.py</t>
  </si>
  <si>
    <t>M091</t>
  </si>
  <si>
    <t>词项邻近度</t>
  </si>
  <si>
    <t>智能重排</t>
  </si>
  <si>
    <t>从智能重排角度评估词项邻近度；运行时按 Excel 第一列影响系数参与加权。</t>
  </si>
  <si>
    <t>scripts/operators/reranking/m091_term_proximity.py</t>
  </si>
  <si>
    <t>M092</t>
  </si>
  <si>
    <t>标题加权有效度</t>
  </si>
  <si>
    <t>从智能重排角度评估标题加权有效度；运行时按 Excel 第一列影响系数参与加权。</t>
  </si>
  <si>
    <t>scripts/operators/reranking/m092_title_hit.py</t>
  </si>
  <si>
    <t>M093</t>
  </si>
  <si>
    <t>精确短语加权度</t>
  </si>
  <si>
    <t>从智能重排角度评估精确短语加权度；运行时按 Excel 第一列影响系数参与加权。</t>
  </si>
  <si>
    <t>scripts/operators/reranking/m093_exact_phrase_hit.py</t>
  </si>
  <si>
    <t>M094</t>
  </si>
  <si>
    <t>来源多样性加权度</t>
  </si>
  <si>
    <t>从智能重排角度评估来源多样性加权度；运行时按 Excel 第一列影响系数参与加权。</t>
  </si>
  <si>
    <t>scripts/operators/reranking/m094_evidence_diversity.py</t>
  </si>
  <si>
    <t>M095</t>
  </si>
  <si>
    <t>权威来源提示度</t>
  </si>
  <si>
    <t>从智能重排角度评估权威来源提示度；运行时按 Excel 第一列影响系数参与加权。</t>
  </si>
  <si>
    <t>scripts/operators/reranking/m095_authority_hint_ratio.py</t>
  </si>
  <si>
    <t>M096</t>
  </si>
  <si>
    <t>时效来源提示度</t>
  </si>
  <si>
    <t>从智能重排角度评估时效来源提示度；运行时按 Excel 第一列影响系数参与加权。</t>
  </si>
  <si>
    <t>scripts/operators/reranking/m096_recency_metadata_ratio.py</t>
  </si>
  <si>
    <t>M097</t>
  </si>
  <si>
    <t>独立证据加权度</t>
  </si>
  <si>
    <t>从智能重排角度评估独立证据加权度；运行时按 Excel 第一列影响系数参与加权。</t>
  </si>
  <si>
    <t>scripts/operators/reranking/m097_unique_evidence_ratio.py</t>
  </si>
  <si>
    <t>M098</t>
  </si>
  <si>
    <t>冲突感知度</t>
  </si>
  <si>
    <t>从智能重排角度评估冲突感知度；运行时按 Excel 第一列影响系数参与加权。</t>
  </si>
  <si>
    <t>scripts/operators/reranking/m098_conflict_awareness.py</t>
  </si>
  <si>
    <t>M099</t>
  </si>
  <si>
    <t>覆盖增益</t>
  </si>
  <si>
    <t>从智能重排角度评估覆盖增益；运行时按 Excel 第一列影响系数参与加权。</t>
  </si>
  <si>
    <t>scripts/operators/reranking/m099_coverage_gain.py</t>
  </si>
  <si>
    <t>M100</t>
  </si>
  <si>
    <t>边际相关性</t>
  </si>
  <si>
    <t>从智能重排角度评估边际相关性；运行时按 Excel 第一列影响系数参与加权。</t>
  </si>
  <si>
    <t>scripts/operators/reranking/m100_marginal_relevance.py</t>
  </si>
  <si>
    <t>M101</t>
  </si>
  <si>
    <t>超长片段惩罚度</t>
  </si>
  <si>
    <t>从智能重排角度评估超长片段惩罚度；运行时按 Excel 第一列影响系数参与加权。</t>
  </si>
  <si>
    <t>scripts/operators/reranking/m101_long_chunk_ratio.py</t>
  </si>
  <si>
    <t>M102</t>
  </si>
  <si>
    <t>过短片段惩罚度</t>
  </si>
  <si>
    <t>从智能重排角度评估过短片段惩罚度；运行时按 Excel 第一列影响系数参与加权。</t>
  </si>
  <si>
    <t>scripts/operators/reranking/m102_short_chunk_ratio.py</t>
  </si>
  <si>
    <t>M103</t>
  </si>
  <si>
    <t>垃圾文本惩罚度</t>
  </si>
  <si>
    <t>从智能重排角度评估垃圾文本惩罚度；运行时按 Excel 第一列影响系数参与加权。</t>
  </si>
  <si>
    <t>scripts/operators/reranking/m103_spam_ratio.py</t>
  </si>
  <si>
    <t>M104</t>
  </si>
  <si>
    <t>模板文本惩罚度</t>
  </si>
  <si>
    <t>从智能重排角度评估模板文本惩罚度；运行时按 Excel 第一列影响系数参与加权。</t>
  </si>
  <si>
    <t>scripts/operators/reranking/m104_boilerplate_ratio.py</t>
  </si>
  <si>
    <t>M105</t>
  </si>
  <si>
    <t>单源垄断抑制度</t>
  </si>
  <si>
    <t>从智能重排角度评估单源垄断抑制度；运行时按 Excel 第一列影响系数参与加权。</t>
  </si>
  <si>
    <t>scripts/operators/reranking/m105_single_source_dominance.py</t>
  </si>
  <si>
    <t>M106</t>
  </si>
  <si>
    <t>分数校准度</t>
  </si>
  <si>
    <t>从智能重排角度评估分数校准度；运行时按 Excel 第一列影响系数参与加权。</t>
  </si>
  <si>
    <t>scripts/operators/reranking/m106_score_calibration.py</t>
  </si>
  <si>
    <t>M107</t>
  </si>
  <si>
    <t>头部差距合理度</t>
  </si>
  <si>
    <t>从智能重排角度评估头部差距合理度；运行时按 Excel 第一列影响系数参与加权。</t>
  </si>
  <si>
    <t>scripts/operators/reranking/m107_score_margin.py</t>
  </si>
  <si>
    <t>M108</t>
  </si>
  <si>
    <t>重排一致性</t>
  </si>
  <si>
    <t>从智能重排角度评估重排一致性；运行时按 Excel 第一列影响系数参与加权。</t>
  </si>
  <si>
    <t>scripts/operators/reranking/m108_rank_stability.py</t>
  </si>
  <si>
    <t>M109</t>
  </si>
  <si>
    <t>片段语义完整度</t>
  </si>
  <si>
    <t>信息抽取</t>
  </si>
  <si>
    <t>从信息抽取角度评估片段语义完整度；运行时按 Excel 第一列影响系数参与加权。</t>
  </si>
  <si>
    <t>scripts/operators/extraction/m109_snippet_completeness.py</t>
  </si>
  <si>
    <t>M110</t>
  </si>
  <si>
    <t>句子边界完整度</t>
  </si>
  <si>
    <t>从信息抽取角度评估句子边界完整度；运行时按 Excel 第一列影响系数参与加权。</t>
  </si>
  <si>
    <t>scripts/operators/extraction/m110_sentence_boundary_ratio.py</t>
  </si>
  <si>
    <t>M111</t>
  </si>
  <si>
    <t>答案承载句识别度</t>
  </si>
  <si>
    <t>从信息抽取角度评估答案承载句识别度；运行时按 Excel 第一列影响系数参与加权。</t>
  </si>
  <si>
    <t>scripts/operators/extraction/m111_answer_sentence_ratio.py</t>
  </si>
  <si>
    <t>M112</t>
  </si>
  <si>
    <t>实体保留度</t>
  </si>
  <si>
    <t>从信息抽取角度评估实体保留度；运行时按 Excel 第一列影响系数参与加权。</t>
  </si>
  <si>
    <t>scripts/operators/extraction/m112_entity_hit.py</t>
  </si>
  <si>
    <t>M113</t>
  </si>
  <si>
    <t>数值上下文完整度</t>
  </si>
  <si>
    <t>从信息抽取角度评估数值上下文完整度；运行时按 Excel 第一列影响系数参与加权。</t>
  </si>
  <si>
    <t>scripts/operators/extraction/m113_numeric_context_ratio.py</t>
  </si>
  <si>
    <t>M114</t>
  </si>
  <si>
    <t>单位保留度</t>
  </si>
  <si>
    <t>从信息抽取角度评估单位保留度；运行时按 Excel 第一列影响系数参与加权。</t>
  </si>
  <si>
    <t>scripts/operators/extraction/m114_unit_retention_ratio.py</t>
  </si>
  <si>
    <t>M115</t>
  </si>
  <si>
    <t>日期保留度</t>
  </si>
  <si>
    <t>从信息抽取角度评估日期保留度；运行时按 Excel 第一列影响系数参与加权。</t>
  </si>
  <si>
    <t>scripts/operators/extraction/m115_date_retention_ratio.py</t>
  </si>
  <si>
    <t>M116</t>
  </si>
  <si>
    <t>引文长度适宜度</t>
  </si>
  <si>
    <t>从信息抽取角度评估引文长度适宜度；运行时按 Excel 第一列影响系数参与加权。</t>
  </si>
  <si>
    <t>scripts/operators/extraction/m116_avg_evidence_length.py</t>
  </si>
  <si>
    <t>M117</t>
  </si>
  <si>
    <t>引文绑定完整度</t>
  </si>
  <si>
    <t>从信息抽取角度评估引文绑定完整度；运行时按 Excel 第一列影响系数参与加权。</t>
  </si>
  <si>
    <t>scripts/operators/extraction/m117_citation_coverage.py</t>
  </si>
  <si>
    <t>M118</t>
  </si>
  <si>
    <t>来源标签完整度</t>
  </si>
  <si>
    <t>从信息抽取角度评估来源标签完整度；运行时按 Excel 第一列影响系数参与加权。</t>
  </si>
  <si>
    <t>scripts/operators/extraction/m118_source_label_ratio.py</t>
  </si>
  <si>
    <t>M119</t>
  </si>
  <si>
    <t>上下文窗口均衡度</t>
  </si>
  <si>
    <t>从信息抽取角度评估上下文窗口均衡度；运行时按 Excel 第一列影响系数参与加权。</t>
  </si>
  <si>
    <t>scripts/operators/extraction/m119_context_balance.py</t>
  </si>
  <si>
    <t>M120</t>
  </si>
  <si>
    <t>表格行完整度</t>
  </si>
  <si>
    <t>从信息抽取角度评估表格行完整度；运行时按 Excel 第一列影响系数参与加权。</t>
  </si>
  <si>
    <t>scripts/operators/extraction/m120_table_row_integrity.py</t>
  </si>
  <si>
    <t>M121</t>
  </si>
  <si>
    <t>列表项完整度</t>
  </si>
  <si>
    <t>从信息抽取角度评估列表项完整度；运行时按 Excel 第一列影响系数参与加权。</t>
  </si>
  <si>
    <t>scripts/operators/extraction/m121_list_item_integrity.py</t>
  </si>
  <si>
    <t>M122</t>
  </si>
  <si>
    <t>代词歧义抑制度</t>
  </si>
  <si>
    <t>从信息抽取角度评估代词歧义抑制度；运行时按 Excel 第一列影响系数参与加权。</t>
  </si>
  <si>
    <t>scripts/operators/extraction/m122_pronoun_ambiguity.py</t>
  </si>
  <si>
    <t>M123</t>
  </si>
  <si>
    <t>截断风险抑制度</t>
  </si>
  <si>
    <t>从信息抽取角度评估截断风险抑制度；运行时按 Excel 第一列影响系数参与加权。</t>
  </si>
  <si>
    <t>scripts/operators/extraction/m123_truncation_ratio.py</t>
  </si>
  <si>
    <t>M124</t>
  </si>
  <si>
    <t>虚构风险抑制度</t>
  </si>
  <si>
    <t>从信息抽取角度评估虚构风险抑制度；运行时按 Excel 第一列影响系数参与加权。</t>
  </si>
  <si>
    <t>scripts/operators/extraction/m124_hallucination_proxy.py</t>
  </si>
  <si>
    <t>M125</t>
  </si>
  <si>
    <t>抽取覆盖率</t>
  </si>
  <si>
    <t>从信息抽取角度评估抽取覆盖率；运行时按 Excel 第一列影响系数参与加权。</t>
  </si>
  <si>
    <t>scripts/operators/extraction/m125_extraction_coverage.py</t>
  </si>
  <si>
    <t>M126</t>
  </si>
  <si>
    <t>证据密度</t>
  </si>
  <si>
    <t>从信息抽取角度评估证据密度；运行时按 Excel 第一列影响系数参与加权。</t>
  </si>
  <si>
    <t>scripts/operators/extraction/m126_evidence_density.py</t>
  </si>
  <si>
    <t>M127</t>
  </si>
  <si>
    <t>指纹覆盖率</t>
  </si>
  <si>
    <t>信息去重</t>
  </si>
  <si>
    <t>从信息去重角度评估指纹覆盖率；运行时按 Excel 第一列影响系数参与加权。</t>
  </si>
  <si>
    <t>scripts/operators/deduplication/m127_fingerprint_coverage.py</t>
  </si>
  <si>
    <t>M128</t>
  </si>
  <si>
    <t>完全重复识别率</t>
  </si>
  <si>
    <t>从信息去重角度评估完全重复识别率；运行时按 Excel 第一列影响系数参与加权。</t>
  </si>
  <si>
    <t>scripts/operators/deduplication/m128_exact_dup_detection.py</t>
  </si>
  <si>
    <t>M129</t>
  </si>
  <si>
    <t>近似重复识别率</t>
  </si>
  <si>
    <t>从信息去重角度评估近似重复识别率；运行时按 Excel 第一列影响系数参与加权。</t>
  </si>
  <si>
    <t>scripts/operators/deduplication/m129_near_dup_detection.py</t>
  </si>
  <si>
    <t>M130</t>
  </si>
  <si>
    <t>来源重复抑制度</t>
  </si>
  <si>
    <t>从信息去重角度评估来源重复抑制度；运行时按 Excel 第一列影响系数参与加权。</t>
  </si>
  <si>
    <t>scripts/operators/deduplication/m130_duplicate_source_ratio.py</t>
  </si>
  <si>
    <t>M131</t>
  </si>
  <si>
    <t>片段重复抑制度</t>
  </si>
  <si>
    <t>从信息去重角度评估片段重复抑制度；运行时按 Excel 第一列影响系数参与加权。</t>
  </si>
  <si>
    <t>scripts/operators/deduplication/m131_evidence_dup_ratio.py</t>
  </si>
  <si>
    <t>M132</t>
  </si>
  <si>
    <t>语义多样性</t>
  </si>
  <si>
    <t>从信息去重角度评估语义多样性；运行时按 Excel 第一列影响系数参与加权。</t>
  </si>
  <si>
    <t>scripts/operators/deduplication/m132_evidence_diversity.py</t>
  </si>
  <si>
    <t>M133</t>
  </si>
  <si>
    <t>规范版本选择度</t>
  </si>
  <si>
    <t>从信息去重角度评估规范版本选择度；运行时按 Excel 第一列影响系数参与加权。</t>
  </si>
  <si>
    <t>scripts/operators/deduplication/m133_canonical_selection.py</t>
  </si>
  <si>
    <t>M134</t>
  </si>
  <si>
    <t>新增信息增益</t>
  </si>
  <si>
    <t>从信息去重角度评估新增信息增益；运行时按 Excel 第一列影响系数参与加权。</t>
  </si>
  <si>
    <t>scripts/operators/deduplication/m134_information_gain.py</t>
  </si>
  <si>
    <t>M135</t>
  </si>
  <si>
    <t>冗余预算合理度</t>
  </si>
  <si>
    <t>从信息去重角度评估冗余预算合理度；运行时按 Excel 第一列影响系数参与加权。</t>
  </si>
  <si>
    <t>scripts/operators/deduplication/m135_redundancy_ratio.py</t>
  </si>
  <si>
    <t>M136</t>
  </si>
  <si>
    <t>标题重复识别度</t>
  </si>
  <si>
    <t>从信息去重角度评估标题重复识别度；运行时按 Excel 第一列影响系数参与加权。</t>
  </si>
  <si>
    <t>scripts/operators/deduplication/m136_title_dup_detection.py</t>
  </si>
  <si>
    <t>M137</t>
  </si>
  <si>
    <t>链接重复识别度</t>
  </si>
  <si>
    <t>从信息去重角度评估链接重复识别度；运行时按 Excel 第一列影响系数参与加权。</t>
  </si>
  <si>
    <t>scripts/operators/deduplication/m137_url_dup_detection.py</t>
  </si>
  <si>
    <t>M138</t>
  </si>
  <si>
    <t>空白差异消解度</t>
  </si>
  <si>
    <t>从信息去重角度评估空白差异消解度；运行时按 Excel 第一列影响系数参与加权。</t>
  </si>
  <si>
    <t>scripts/operators/deduplication/m138_whitespace_dup_detection.py</t>
  </si>
  <si>
    <t>M139</t>
  </si>
  <si>
    <t>大小写差异消解度</t>
  </si>
  <si>
    <t>从信息去重角度评估大小写差异消解度；运行时按 Excel 第一列影响系数参与加权。</t>
  </si>
  <si>
    <t>scripts/operators/deduplication/m139_case_dup_detection.py</t>
  </si>
  <si>
    <t>M140</t>
  </si>
  <si>
    <t>标点差异消解度</t>
  </si>
  <si>
    <t>从信息去重角度评估标点差异消解度；运行时按 Excel 第一列影响系数参与加权。</t>
  </si>
  <si>
    <t>scripts/operators/deduplication/m140_punctuation_dup_detection.py</t>
  </si>
  <si>
    <t>M141</t>
  </si>
  <si>
    <t>数值变体保留度</t>
  </si>
  <si>
    <t>从信息去重角度评估数值变体保留度；运行时按 Excel 第一列影响系数参与加权。</t>
  </si>
  <si>
    <t>scripts/operators/deduplication/m141_numeric_variant_preservation.py</t>
  </si>
  <si>
    <t>M142</t>
  </si>
  <si>
    <t>冲突副本保留度</t>
  </si>
  <si>
    <t>从信息去重角度评估冲突副本保留度；运行时按 Excel 第一列影响系数参与加权。</t>
  </si>
  <si>
    <t>scripts/operators/deduplication/m142_conflict_preservation.py</t>
  </si>
  <si>
    <t>M143</t>
  </si>
  <si>
    <t>跨格式重复识别度</t>
  </si>
  <si>
    <t>从信息去重角度评估跨格式重复识别度；运行时按 Excel 第一列影响系数参与加权。</t>
  </si>
  <si>
    <t>scripts/operators/deduplication/m143_cross_format_dup_detection.py</t>
  </si>
  <si>
    <t>M144</t>
  </si>
  <si>
    <t>去重审计完整度</t>
  </si>
  <si>
    <t>从信息去重角度评估去重审计完整度；运行时按 Excel 第一列影响系数参与加权。</t>
  </si>
  <si>
    <t>scripts/operators/deduplication/m144_dedup_audit.py</t>
  </si>
  <si>
    <t>M145</t>
  </si>
  <si>
    <t>数值冲突识别度</t>
  </si>
  <si>
    <t>矛盾消解</t>
  </si>
  <si>
    <t>从矛盾消解角度评估数值冲突识别度；运行时按 Excel 第一列影响系数参与加权。</t>
  </si>
  <si>
    <t>scripts/operators/contradiction/m145_numeric_conflict_detection.py</t>
  </si>
  <si>
    <t>M146</t>
  </si>
  <si>
    <t>日期冲突识别度</t>
  </si>
  <si>
    <t>从矛盾消解角度评估日期冲突识别度；运行时按 Excel 第一列影响系数参与加权。</t>
  </si>
  <si>
    <t>scripts/operators/contradiction/m146_date_conflict_detection.py</t>
  </si>
  <si>
    <t>M147</t>
  </si>
  <si>
    <t>肯否冲突识别度</t>
  </si>
  <si>
    <t>从矛盾消解角度评估肯否冲突识别度；运行时按 Excel 第一列影响系数参与加权。</t>
  </si>
  <si>
    <t>scripts/operators/contradiction/m147_polarity_conflict_detection.py</t>
  </si>
  <si>
    <t>M148</t>
  </si>
  <si>
    <t>实体冲突识别度</t>
  </si>
  <si>
    <t>从矛盾消解角度评估实体冲突识别度；运行时按 Excel 第一列影响系数参与加权。</t>
  </si>
  <si>
    <t>scripts/operators/contradiction/m148_entity_conflict_detection.py</t>
  </si>
  <si>
    <t>M149</t>
  </si>
  <si>
    <t>单位冲突识别度</t>
  </si>
  <si>
    <t>从矛盾消解角度评估单位冲突识别度；运行时按 Excel 第一列影响系数参与加权。</t>
  </si>
  <si>
    <t>scripts/operators/contradiction/m149_unit_conflict_detection.py</t>
  </si>
  <si>
    <t>M150</t>
  </si>
  <si>
    <t>来源配对覆盖率</t>
  </si>
  <si>
    <t>从矛盾消解角度评估来源配对覆盖率；运行时按 Excel 第一列影响系数参与加权。</t>
  </si>
  <si>
    <t>scripts/operators/contradiction/m150_conflict_pair_coverage.py</t>
  </si>
  <si>
    <t>M151</t>
  </si>
  <si>
    <t>冲突证据绑定度</t>
  </si>
  <si>
    <t>从矛盾消解角度评估冲突证据绑定度；运行时按 Excel 第一列影响系数参与加权。</t>
  </si>
  <si>
    <t>scripts/operators/contradiction/m151_conflict_citation_ratio.py</t>
  </si>
  <si>
    <t>M152</t>
  </si>
  <si>
    <t>冲突严重度识别</t>
  </si>
  <si>
    <t>从矛盾消解角度评估冲突严重度识别；运行时按 Excel 第一列影响系数参与加权。</t>
  </si>
  <si>
    <t>scripts/operators/contradiction/m152_conflict_severity_quality.py</t>
  </si>
  <si>
    <t>M153</t>
  </si>
  <si>
    <t>未决冲突披露度</t>
  </si>
  <si>
    <t>从矛盾消解角度评估未决冲突披露度；运行时按 Excel 第一列影响系数参与加权。</t>
  </si>
  <si>
    <t>scripts/operators/contradiction/m153_unresolved_conflict_disclosure.py</t>
  </si>
  <si>
    <t>M154</t>
  </si>
  <si>
    <t>不确定性表达度</t>
  </si>
  <si>
    <t>从矛盾消解角度评估不确定性表达度；运行时按 Excel 第一列影响系数参与加权。</t>
  </si>
  <si>
    <t>scripts/operators/contradiction/m154_uncertainty_disclosure.py</t>
  </si>
  <si>
    <t>M155</t>
  </si>
  <si>
    <t>适用范围限定度</t>
  </si>
  <si>
    <t>从矛盾消解角度评估适用范围限定度；运行时按 Excel 第一列影响系数参与加权。</t>
  </si>
  <si>
    <t>scripts/operators/contradiction/m155_scope_qualifier_ratio.py</t>
  </si>
  <si>
    <t>M156</t>
  </si>
  <si>
    <t>时间口径限定度</t>
  </si>
  <si>
    <t>从矛盾消解角度评估时间口径限定度；运行时按 Excel 第一列影响系数参与加权。</t>
  </si>
  <si>
    <t>scripts/operators/contradiction/m156_time_qualifier_ratio.py</t>
  </si>
  <si>
    <t>M157</t>
  </si>
  <si>
    <t>来源差异解释度</t>
  </si>
  <si>
    <t>从矛盾消解角度评估来源差异解释度；运行时按 Excel 第一列影响系数参与加权。</t>
  </si>
  <si>
    <t>scripts/operators/contradiction/m157_provenance_difference.py</t>
  </si>
  <si>
    <t>M158</t>
  </si>
  <si>
    <t>冲突聚类质量</t>
  </si>
  <si>
    <t>从矛盾消解角度评估冲突聚类质量；运行时按 Excel 第一列影响系数参与加权。</t>
  </si>
  <si>
    <t>scripts/operators/contradiction/m158_conflict_cluster_quality.py</t>
  </si>
  <si>
    <t>M159</t>
  </si>
  <si>
    <t>误报抑制度</t>
  </si>
  <si>
    <t>从矛盾消解角度评估误报抑制度；运行时按 Excel 第一列影响系数参与加权。</t>
  </si>
  <si>
    <t>scripts/operators/contradiction/m159_conflict_false_positive_control.py</t>
  </si>
  <si>
    <t>M160</t>
  </si>
  <si>
    <t>冲突数量合理度</t>
  </si>
  <si>
    <t>从矛盾消解角度评估冲突数量合理度；运行时按 Excel 第一列影响系数参与加权。</t>
  </si>
  <si>
    <t>scripts/operators/contradiction/m160_conflict_count_sanity.py</t>
  </si>
  <si>
    <t>M161</t>
  </si>
  <si>
    <t>消解建议完整度</t>
  </si>
  <si>
    <t>从矛盾消解角度评估消解建议完整度；运行时按 Excel 第一列影响系数参与加权。</t>
  </si>
  <si>
    <t>scripts/operators/contradiction/m161_reconciliation_hint_ratio.py</t>
  </si>
  <si>
    <t>M162</t>
  </si>
  <si>
    <t>矛盾审计完整度</t>
  </si>
  <si>
    <t>从矛盾消解角度评估矛盾审计完整度；运行时按 Excel 第一列影响系数参与加权。</t>
  </si>
  <si>
    <t>scripts/operators/contradiction/m162_conflict_audit.py</t>
  </si>
  <si>
    <t>M163</t>
  </si>
  <si>
    <t>融合来源覆盖率</t>
  </si>
  <si>
    <t>多源融合</t>
  </si>
  <si>
    <t>从多源融合角度评估融合来源覆盖率；运行时按 Excel 第一列影响系数参与加权。</t>
  </si>
  <si>
    <t>scripts/operators/fusion/m163_source_coverage.py</t>
  </si>
  <si>
    <t>M164</t>
  </si>
  <si>
    <t>证据类型多样性</t>
  </si>
  <si>
    <t>从多源融合角度评估证据类型多样性；运行时按 Excel 第一列影响系数参与加权。</t>
  </si>
  <si>
    <t>scripts/operators/fusion/m164_evidence_diversity.py</t>
  </si>
  <si>
    <t>M165</t>
  </si>
  <si>
    <t>同类主张聚合度</t>
  </si>
  <si>
    <t>从多源融合角度评估同类主张聚合度；运行时按 Excel 第一列影响系数参与加权。</t>
  </si>
  <si>
    <t>scripts/operators/fusion/m165_claim_aggregation.py</t>
  </si>
  <si>
    <t>M166</t>
  </si>
  <si>
    <t>多数证据支持度</t>
  </si>
  <si>
    <t>从多源融合角度评估多数证据支持度；运行时按 Excel 第一列影响系数参与加权。</t>
  </si>
  <si>
    <t>scripts/operators/fusion/m166_majority_support.py</t>
  </si>
  <si>
    <t>M167</t>
  </si>
  <si>
    <t>少数意见保留度</t>
  </si>
  <si>
    <t>从多源融合角度评估少数意见保留度；运行时按 Excel 第一列影响系数参与加权。</t>
  </si>
  <si>
    <t>scripts/operators/fusion/m167_minority_preservation.py</t>
  </si>
  <si>
    <t>M168</t>
  </si>
  <si>
    <t>不确定性披露度</t>
  </si>
  <si>
    <t>从多源融合角度评估不确定性披露度；运行时按 Excel 第一列影响系数参与加权。</t>
  </si>
  <si>
    <t>scripts/operators/fusion/m168_uncertainty_disclosure.py</t>
  </si>
  <si>
    <t>M169</t>
  </si>
  <si>
    <t>来源链完整度</t>
  </si>
  <si>
    <t>从多源融合角度评估来源链完整度；运行时按 Excel 第一列影响系数参与加权。</t>
  </si>
  <si>
    <t>scripts/operators/fusion/m169_citation_coverage.py</t>
  </si>
  <si>
    <t>M170</t>
  </si>
  <si>
    <t>时间口径对齐度</t>
  </si>
  <si>
    <t>从多源融合角度评估时间口径对齐度；运行时按 Excel 第一列影响系数参与加权。</t>
  </si>
  <si>
    <t>scripts/operators/fusion/m170_time_alignment.py</t>
  </si>
  <si>
    <t>M171</t>
  </si>
  <si>
    <t>单位口径对齐度</t>
  </si>
  <si>
    <t>从多源融合角度评估单位口径对齐度；运行时按 Excel 第一列影响系数参与加权。</t>
  </si>
  <si>
    <t>scripts/operators/fusion/m171_unit_alignment.py</t>
  </si>
  <si>
    <t>M172</t>
  </si>
  <si>
    <t>范围口径对齐度</t>
  </si>
  <si>
    <t>从多源融合角度评估范围口径对齐度；运行时按 Excel 第一列影响系数参与加权。</t>
  </si>
  <si>
    <t>scripts/operators/fusion/m172_scope_alignment.py</t>
  </si>
  <si>
    <t>M173</t>
  </si>
  <si>
    <t>实体口径对齐度</t>
  </si>
  <si>
    <t>从多源融合角度评估实体口径对齐度；运行时按 Excel 第一列影响系数参与加权。</t>
  </si>
  <si>
    <t>scripts/operators/fusion/m173_entity_alignment.py</t>
  </si>
  <si>
    <t>M174</t>
  </si>
  <si>
    <t>重复信息压缩度</t>
  </si>
  <si>
    <t>从多源融合角度评估重复信息压缩度；运行时按 Excel 第一列影响系数参与加权。</t>
  </si>
  <si>
    <t>scripts/operators/fusion/m174_unique_evidence_ratio.py</t>
  </si>
  <si>
    <t>M175</t>
  </si>
  <si>
    <t>冲突信息分离度</t>
  </si>
  <si>
    <t>从多源融合角度评估冲突信息分离度；运行时按 Excel 第一列影响系数参与加权。</t>
  </si>
  <si>
    <t>scripts/operators/fusion/m175_conflict_separation.py</t>
  </si>
  <si>
    <t>M176</t>
  </si>
  <si>
    <t>综合结论完整度</t>
  </si>
  <si>
    <t>从多源融合角度评估综合结论完整度；运行时按 Excel 第一列影响系数参与加权。</t>
  </si>
  <si>
    <t>scripts/operators/fusion/m176_synthesis_completeness.py</t>
  </si>
  <si>
    <t>M177</t>
  </si>
  <si>
    <t>可行动洞察度</t>
  </si>
  <si>
    <t>从多源融合角度评估可行动洞察度；运行时按 Excel 第一列影响系数参与加权。</t>
  </si>
  <si>
    <t>scripts/operators/fusion/m177_actionable_insight_ratio.py</t>
  </si>
  <si>
    <t>M178</t>
  </si>
  <si>
    <t>信息缺口识别度</t>
  </si>
  <si>
    <t>从多源融合角度评估信息缺口识别度；运行时按 Excel 第一列影响系数参与加权。</t>
  </si>
  <si>
    <t>scripts/operators/fusion/m178_gap_detection.py</t>
  </si>
  <si>
    <t>M179</t>
  </si>
  <si>
    <t>置信度校准度</t>
  </si>
  <si>
    <t>从多源融合角度评估置信度校准度；运行时按 Excel 第一列影响系数参与加权。</t>
  </si>
  <si>
    <t>scripts/operators/fusion/m179_confidence_calibration.py</t>
  </si>
  <si>
    <t>M180</t>
  </si>
  <si>
    <t>融合加权合理度</t>
  </si>
  <si>
    <t>从多源融合角度评估融合加权合理度；运行时按 Excel 第一列影响系数参与加权。</t>
  </si>
  <si>
    <t>scripts/operators/fusion/m180_fusion_weight_quality.py</t>
  </si>
  <si>
    <t>M181</t>
  </si>
  <si>
    <t>引用密度</t>
  </si>
  <si>
    <t>溯源引用</t>
  </si>
  <si>
    <t>从溯源引用角度评估引用密度；运行时按 Excel 第一列影响系数参与加权。</t>
  </si>
  <si>
    <t>scripts/operators/citation/m181_citation_density.py</t>
  </si>
  <si>
    <t>M182</t>
  </si>
  <si>
    <t>引用覆盖完整度</t>
  </si>
  <si>
    <t>从溯源引用角度评估引用覆盖完整度；运行时按 Excel 第一列影响系数参与加权。</t>
  </si>
  <si>
    <t>scripts/operators/citation/m182_citation_coverage.py</t>
  </si>
  <si>
    <t>M183</t>
  </si>
  <si>
    <t>来源路径完整度</t>
  </si>
  <si>
    <t>从溯源引用角度评估来源路径完整度；运行时按 Excel 第一列影响系数参与加权。</t>
  </si>
  <si>
    <t>scripts/operators/citation/m183_source_path_ratio.py</t>
  </si>
  <si>
    <t>M184</t>
  </si>
  <si>
    <t>片段编号完整度</t>
  </si>
  <si>
    <t>从溯源引用角度评估片段编号完整度；运行时按 Excel 第一列影响系数参与加权。</t>
  </si>
  <si>
    <t>scripts/operators/citation/m184_chunk_id_ratio.py</t>
  </si>
  <si>
    <t>M185</t>
  </si>
  <si>
    <t>页码表名定位度</t>
  </si>
  <si>
    <t>从溯源引用角度评估页码表名定位度；运行时按 Excel 第一列影响系数参与加权。</t>
  </si>
  <si>
    <t>scripts/operators/citation/m185_locator_ratio.py</t>
  </si>
  <si>
    <t>M186</t>
  </si>
  <si>
    <t>引文可追溯度</t>
  </si>
  <si>
    <t>从溯源引用角度评估引文可追溯度；运行时按 Excel 第一列影响系数参与加权。</t>
  </si>
  <si>
    <t>scripts/operators/citation/m186_quote_traceability.py</t>
  </si>
  <si>
    <t>M187</t>
  </si>
  <si>
    <t>失效引用抑制度</t>
  </si>
  <si>
    <t>从溯源引用角度评估失效引用抑制度；运行时按 Excel 第一列影响系数参与加权。</t>
  </si>
  <si>
    <t>scripts/operators/citation/m187_broken_citation_ratio.py</t>
  </si>
  <si>
    <t>M188</t>
  </si>
  <si>
    <t>唯一引用比例</t>
  </si>
  <si>
    <t>从溯源引用角度评估唯一引用比例；运行时按 Excel 第一列影响系数参与加权。</t>
  </si>
  <si>
    <t>scripts/operators/citation/m188_unique_citation_ratio.py</t>
  </si>
  <si>
    <t>M189</t>
  </si>
  <si>
    <t>一手来源提示度</t>
  </si>
  <si>
    <t>从溯源引用角度评估一手来源提示度；运行时按 Excel 第一列影响系数参与加权。</t>
  </si>
  <si>
    <t>scripts/operators/citation/m189_primary_source_hint.py</t>
  </si>
  <si>
    <t>M190</t>
  </si>
  <si>
    <t>链接规范度</t>
  </si>
  <si>
    <t>从溯源引用角度评估链接规范度；运行时按 Excel 第一列影响系数参与加权。</t>
  </si>
  <si>
    <t>scripts/operators/citation/m190_url_normal_ratio.py</t>
  </si>
  <si>
    <t>M191</t>
  </si>
  <si>
    <t>本地路径安全度</t>
  </si>
  <si>
    <t>从溯源引用角度评估本地路径安全度；运行时按 Excel 第一列影响系数参与加权。</t>
  </si>
  <si>
    <t>scripts/operators/citation/m191_path_safety_ratio.py</t>
  </si>
  <si>
    <t>M192</t>
  </si>
  <si>
    <t>引用顺序一致度</t>
  </si>
  <si>
    <t>从溯源引用角度评估引用顺序一致度；运行时按 Excel 第一列影响系数参与加权。</t>
  </si>
  <si>
    <t>scripts/operators/citation/m192_citation_order_ratio.py</t>
  </si>
  <si>
    <t>M193</t>
  </si>
  <si>
    <t>证据引用对齐度</t>
  </si>
  <si>
    <t>从溯源引用角度评估证据引用对齐度；运行时按 Excel 第一列影响系数参与加权。</t>
  </si>
  <si>
    <t>scripts/operators/citation/m193_evidence_citation_parity.py</t>
  </si>
  <si>
    <t>M194</t>
  </si>
  <si>
    <t>冲突引用对齐度</t>
  </si>
  <si>
    <t>从溯源引用角度评估冲突引用对齐度；运行时按 Excel 第一列影响系数参与加权。</t>
  </si>
  <si>
    <t>scripts/operators/citation/m194_conflict_citation_ratio.py</t>
  </si>
  <si>
    <t>M195</t>
  </si>
  <si>
    <t>检索时间记录度</t>
  </si>
  <si>
    <t>从溯源引用角度评估检索时间记录度；运行时按 Excel 第一列影响系数参与加权。</t>
  </si>
  <si>
    <t>scripts/operators/citation/m195_timestamp_recorded.py</t>
  </si>
  <si>
    <t>M196</t>
  </si>
  <si>
    <t>内容指纹记录度</t>
  </si>
  <si>
    <t>从溯源引用角度评估内容指纹记录度；运行时按 Excel 第一列影响系数参与加权。</t>
  </si>
  <si>
    <t>scripts/operators/citation/m196_fingerprint_coverage.py</t>
  </si>
  <si>
    <t>M197</t>
  </si>
  <si>
    <t>结果复现度</t>
  </si>
  <si>
    <t>从溯源引用角度评估结果复现度；运行时按 Excel 第一列影响系数参与加权。</t>
  </si>
  <si>
    <t>scripts/operators/citation/m197_reproducibility_ratio.py</t>
  </si>
  <si>
    <t>M198</t>
  </si>
  <si>
    <t>引用审计完整度</t>
  </si>
  <si>
    <t>从溯源引用角度评估引用审计完整度；运行时按 Excel 第一列影响系数参与加权。</t>
  </si>
  <si>
    <t>scripts/operators/citation/m198_citation_audit.py</t>
  </si>
  <si>
    <t>M199</t>
  </si>
  <si>
    <t>结果结构完整度</t>
  </si>
  <si>
    <t>质量与安全</t>
  </si>
  <si>
    <t>从质量与安全角度评估结果结构完整度；运行时按 Excel 第一列影响系数参与加权。</t>
  </si>
  <si>
    <t>scripts/operators/quality_safety/m199_result_structure.py</t>
  </si>
  <si>
    <t>M200</t>
  </si>
  <si>
    <t>无崩溃稳定度</t>
  </si>
  <si>
    <t>从质量与安全角度评估无崩溃稳定度；运行时按 Excel 第一列影响系数参与加权。</t>
  </si>
  <si>
    <t>scripts/operators/quality_safety/m200_no_crash.py</t>
  </si>
  <si>
    <t>M201</t>
  </si>
  <si>
    <t>告警可操作度</t>
  </si>
  <si>
    <t>从质量与安全角度评估告警可操作度；运行时按 Excel 第一列影响系数参与加权。</t>
  </si>
  <si>
    <t>scripts/operators/quality_safety/m201_actionable_warning_ratio.py</t>
  </si>
  <si>
    <t>M202</t>
  </si>
  <si>
    <t>空输入处理度</t>
  </si>
  <si>
    <t>从质量与安全角度评估空输入处理度；运行时按 Excel 第一列影响系数参与加权。</t>
  </si>
  <si>
    <t>scripts/operators/quality_safety/m202_empty_input_handling.py</t>
  </si>
  <si>
    <t>M203</t>
  </si>
  <si>
    <t>提示注入识别度</t>
  </si>
  <si>
    <t>从质量与安全角度评估提示注入识别度；运行时按 Excel 第一列影响系数参与加权。</t>
  </si>
  <si>
    <t>scripts/operators/quality_safety/m203_injection_detection.py</t>
  </si>
  <si>
    <t>M204</t>
  </si>
  <si>
    <t>敏感信息抑制度</t>
  </si>
  <si>
    <t>从质量与安全角度评估敏感信息抑制度；运行时按 Excel 第一列影响系数参与加权。</t>
  </si>
  <si>
    <t>scripts/operators/quality_safety/m204_secret_suppression.py</t>
  </si>
  <si>
    <t>M205</t>
  </si>
  <si>
    <t>内网访问阻断度</t>
  </si>
  <si>
    <t>从质量与安全角度评估内网访问阻断度；运行时按 Excel 第一列影响系数参与加权。</t>
  </si>
  <si>
    <t>scripts/operators/quality_safety/m205_private_network_block.py</t>
  </si>
  <si>
    <t>M206</t>
  </si>
  <si>
    <t>路径穿越阻断度</t>
  </si>
  <si>
    <t>从质量与安全角度评估路径穿越阻断度；运行时按 Excel 第一列影响系数参与加权。</t>
  </si>
  <si>
    <t>scripts/operators/quality_safety/m206_path_traversal_block.py</t>
  </si>
  <si>
    <t>M207</t>
  </si>
  <si>
    <t>危险扩展名阻断度</t>
  </si>
  <si>
    <t>从质量与安全角度评估危险扩展名阻断度；运行时按 Excel 第一列影响系数参与加权。</t>
  </si>
  <si>
    <t>scripts/operators/quality_safety/m207_unsafe_extension_block.py</t>
  </si>
  <si>
    <t>M208</t>
  </si>
  <si>
    <t>文件体积限制度</t>
  </si>
  <si>
    <t>从质量与安全角度评估文件体积限制度；运行时按 Excel 第一列影响系数参与加权。</t>
  </si>
  <si>
    <t>scripts/operators/quality_safety/m208_file_size_limit.py</t>
  </si>
  <si>
    <t>M209</t>
  </si>
  <si>
    <t>编码鲁棒度</t>
  </si>
  <si>
    <t>从质量与安全角度评估编码鲁棒度；运行时按 Excel 第一列影响系数参与加权。</t>
  </si>
  <si>
    <t>scripts/operators/quality_safety/m209_encoding_success_ratio.py</t>
  </si>
  <si>
    <t>M210</t>
  </si>
  <si>
    <t>输出确定性</t>
  </si>
  <si>
    <t>从质量与安全角度评估输出确定性；运行时按 Excel 第一列影响系数参与加权。</t>
  </si>
  <si>
    <t>scripts/operators/quality_safety/m210_deterministic_output.py</t>
  </si>
  <si>
    <t>M211</t>
  </si>
  <si>
    <t>JSON有效度</t>
  </si>
  <si>
    <t>从质量与安全角度评估JSON有效度；运行时按 Excel 第一列影响系数参与加权。</t>
  </si>
  <si>
    <t>scripts/operators/quality_safety/m211_json_valid.py</t>
  </si>
  <si>
    <t>M212</t>
  </si>
  <si>
    <t>Markdown可读度</t>
  </si>
  <si>
    <t>从质量与安全角度评估Markdown可读度；运行时按 Excel 第一列影响系数参与加权。</t>
  </si>
  <si>
    <t>scripts/operators/quality_safety/m212_markdown_readability.py</t>
  </si>
  <si>
    <t>M213</t>
  </si>
  <si>
    <t>指标配置加载度</t>
  </si>
  <si>
    <t>从质量与安全角度评估指标配置加载度；运行时按 Excel 第一列影响系数参与加权。</t>
  </si>
  <si>
    <t>scripts/operators/quality_safety/m213_config_loaded.py</t>
  </si>
  <si>
    <t>M214</t>
  </si>
  <si>
    <t>系数范围有效度</t>
  </si>
  <si>
    <t>从质量与安全角度评估系数范围有效度；运行时按 Excel 第一列影响系数参与加权。</t>
  </si>
  <si>
    <t>scripts/operators/quality_safety/m214_weight_valid_ratio.py</t>
  </si>
  <si>
    <t>M215</t>
  </si>
  <si>
    <t>停用指标遵循度</t>
  </si>
  <si>
    <t>从质量与安全角度评估停用指标遵循度；运行时按 Excel 第一列影响系数参与加权。</t>
  </si>
  <si>
    <t>scripts/operators/quality_safety/m215_disabled_metric_obeyed.py</t>
  </si>
  <si>
    <t>M216</t>
  </si>
  <si>
    <t>运行时效率</t>
  </si>
  <si>
    <t>从质量与安全角度评估运行时效率；运行时按 Excel 第一列影响系数参与加权。</t>
  </si>
  <si>
    <t>scripts/operators/quality_safety/m216_runtime_ms.py</t>
  </si>
  <si>
    <t>参考指标配置使用说明</t>
  </si>
  <si>
    <t>核心规则</t>
  </si>
  <si>
    <t>程序每一次运行都会重新读取“参考指标”工作表 A 列影响系数，不缓存、不使用代码回退值。</t>
  </si>
  <si>
    <t>A 列</t>
  </si>
  <si>
    <t>参考指标影响系数，只允许 0-10。数值越大，该指标对综合质量分的影响越大。</t>
  </si>
  <si>
    <t>E 列</t>
  </si>
  <si>
    <t>是否启用。填写“否”后，该项不参与加权分子和分母。</t>
  </si>
  <si>
    <t>G 列</t>
  </si>
  <si>
    <t>建议阈值，用于定位低分项；不会代替 A 列的加权作用。</t>
  </si>
  <si>
    <t>B 列</t>
  </si>
  <si>
    <t>指标 ID 与 Python 算子一一对应，请勿修改、删除或重复。</t>
  </si>
  <si>
    <t>保存后</t>
  </si>
  <si>
    <t>运行 python scripts/entrypoints/validate_config.py 检查系数范围、指标数量和脚本映射。</t>
  </si>
  <si>
    <t>设计规模</t>
  </si>
  <si>
    <t>216 项指标，12 个类别，每项对应 scripts/operators 下一个独立 Python 文件。</t>
  </si>
  <si>
    <t>安全提示</t>
  </si>
  <si>
    <t>不要在备注中写入密码、令牌、身份证号等敏感信息。</t>
  </si>
  <si>
    <t>12 类参考指标概览</t>
  </si>
  <si>
    <t>指标数量</t>
  </si>
  <si>
    <t>启用数量</t>
  </si>
  <si>
    <t>平均影响系数</t>
  </si>
  <si>
    <t>最高影响系数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</si>
</sst>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name val="Carlito"/>
      <charset val="134"/>
    </font>
    <font>
      <b/>
      <sz val="18"/>
      <color rgb="FFFFFFFF"/>
      <name val="Carlito"/>
      <charset val="134"/>
    </font>
    <font>
      <b/>
      <sz val="11"/>
      <color rgb="FFFFFFFF"/>
      <name val="Carlito"/>
      <charset val="134"/>
    </font>
    <font>
      <b/>
      <sz val="11"/>
      <color rgb="FF7A1F2B"/>
      <name val="Carlito"/>
      <charset val="134"/>
    </font>
    <font>
      <sz val="11"/>
      <color rgb="FF243447"/>
      <name val="Carlito"/>
      <charset val="134"/>
    </font>
    <font>
      <b/>
      <sz val="10"/>
      <color rgb="FF8A4B08"/>
      <name val="Carlito"/>
      <charset val="134"/>
    </font>
    <font>
      <sz val="10"/>
      <color rgb="FF7A1F2B"/>
      <name val="Carlito"/>
      <charset val="134"/>
    </font>
    <font>
      <sz val="10"/>
      <color rgb="FF243447"/>
      <name val="Carlito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7A1F2B"/>
        <bgColor indexed="64"/>
      </patternFill>
    </fill>
    <fill>
      <patternFill patternType="solid">
        <fgColor rgb="FF243447"/>
        <bgColor indexed="64"/>
      </patternFill>
    </fill>
    <fill>
      <patternFill patternType="solid">
        <fgColor rgb="FFF7E8EA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3D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/>
      <right style="thin">
        <color rgb="FFDDE3EA"/>
      </right>
      <top/>
      <bottom style="thin">
        <color rgb="FFDDE3EA"/>
      </bottom>
      <diagonal/>
    </border>
    <border>
      <left style="thin">
        <color rgb="FFDDE3EA"/>
      </left>
      <right style="thin">
        <color rgb="FFDDE3EA"/>
      </right>
      <top/>
      <bottom style="thin">
        <color rgb="FFDDE3EA"/>
      </bottom>
      <diagonal/>
    </border>
    <border>
      <left style="thin">
        <color rgb="FFDDE3EA"/>
      </left>
      <right/>
      <top/>
      <bottom style="thin">
        <color rgb="FFDDE3EA"/>
      </bottom>
      <diagonal/>
    </border>
    <border>
      <left/>
      <right style="thin">
        <color rgb="FFDDE3EA"/>
      </right>
      <top style="thin">
        <color rgb="FFDDE3EA"/>
      </top>
      <bottom style="thin">
        <color rgb="FFDDE3EA"/>
      </bottom>
      <diagonal/>
    </border>
    <border>
      <left style="thin">
        <color rgb="FFDDE3EA"/>
      </left>
      <right style="thin">
        <color rgb="FFDDE3EA"/>
      </right>
      <top style="thin">
        <color rgb="FFDDE3EA"/>
      </top>
      <bottom style="thin">
        <color rgb="FFDDE3EA"/>
      </bottom>
      <diagonal/>
    </border>
    <border>
      <left style="thin">
        <color rgb="FFDDE3EA"/>
      </left>
      <right/>
      <top style="thin">
        <color rgb="FFDDE3EA"/>
      </top>
      <bottom style="thin">
        <color rgb="FFDDE3EA"/>
      </bottom>
      <diagonal/>
    </border>
    <border>
      <left/>
      <right style="thin">
        <color rgb="FFDDE3EA"/>
      </right>
      <top style="thin">
        <color rgb="FFDDE3EA"/>
      </top>
      <bottom/>
      <diagonal/>
    </border>
    <border>
      <left style="thin">
        <color rgb="FFDDE3EA"/>
      </left>
      <right style="thin">
        <color rgb="FFDDE3EA"/>
      </right>
      <top style="thin">
        <color rgb="FFDDE3EA"/>
      </top>
      <bottom/>
      <diagonal/>
    </border>
    <border>
      <left style="thin">
        <color rgb="FFDDE3EA"/>
      </left>
      <right/>
      <top style="thin">
        <color rgb="FFDDE3EA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8" fillId="0" borderId="0">
      <alignment vertical="center"/>
    </xf>
    <xf numFmtId="43" fontId="8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8" fillId="7" borderId="11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12" applyNumberFormat="0" applyFill="0" applyAlignment="0" applyProtection="0">
      <alignment vertical="center"/>
    </xf>
    <xf numFmtId="0" fontId="15" fillId="0" borderId="12" applyNumberFormat="0" applyFill="0" applyAlignment="0" applyProtection="0">
      <alignment vertical="center"/>
    </xf>
    <xf numFmtId="0" fontId="16" fillId="0" borderId="13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8" borderId="14" applyNumberFormat="0" applyAlignment="0" applyProtection="0">
      <alignment vertical="center"/>
    </xf>
    <xf numFmtId="0" fontId="18" fillId="9" borderId="15" applyNumberFormat="0" applyAlignment="0" applyProtection="0">
      <alignment vertical="center"/>
    </xf>
    <xf numFmtId="0" fontId="19" fillId="9" borderId="14" applyNumberFormat="0" applyAlignment="0" applyProtection="0">
      <alignment vertical="center"/>
    </xf>
    <xf numFmtId="0" fontId="20" fillId="10" borderId="16" applyNumberFormat="0" applyAlignment="0" applyProtection="0">
      <alignment vertical="center"/>
    </xf>
    <xf numFmtId="0" fontId="21" fillId="0" borderId="17" applyNumberFormat="0" applyFill="0" applyAlignment="0" applyProtection="0">
      <alignment vertical="center"/>
    </xf>
    <xf numFmtId="0" fontId="22" fillId="0" borderId="18" applyNumberFormat="0" applyFill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7" fillId="36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0" fillId="0" borderId="0"/>
  </cellStyleXfs>
  <cellXfs count="25">
    <xf numFmtId="0" fontId="0" fillId="0" borderId="0" xfId="49"/>
    <xf numFmtId="0" fontId="1" fillId="2" borderId="0" xfId="49" applyNumberFormat="1" applyFont="1" applyFill="1" applyBorder="1" applyAlignment="1">
      <alignment horizontal="center" vertical="center"/>
    </xf>
    <xf numFmtId="0" fontId="2" fillId="3" borderId="0" xfId="49" applyNumberFormat="1" applyFont="1" applyFill="1" applyBorder="1" applyAlignment="1">
      <alignment horizontal="center" vertical="center"/>
    </xf>
    <xf numFmtId="0" fontId="3" fillId="4" borderId="1" xfId="49" applyNumberFormat="1" applyFont="1" applyFill="1" applyBorder="1" applyAlignment="1">
      <alignment horizontal="center" vertical="center"/>
    </xf>
    <xf numFmtId="1" fontId="0" fillId="0" borderId="2" xfId="49" applyNumberFormat="1" applyFont="1" applyFill="1" applyBorder="1" applyAlignment="1">
      <alignment horizontal="center" vertical="center"/>
    </xf>
    <xf numFmtId="2" fontId="0" fillId="0" borderId="2" xfId="49" applyNumberFormat="1" applyFont="1" applyFill="1" applyBorder="1" applyAlignment="1">
      <alignment horizontal="center" vertical="center"/>
    </xf>
    <xf numFmtId="2" fontId="0" fillId="0" borderId="3" xfId="49" applyNumberFormat="1" applyFont="1" applyFill="1" applyBorder="1" applyAlignment="1">
      <alignment horizontal="center" vertical="center"/>
    </xf>
    <xf numFmtId="0" fontId="3" fillId="4" borderId="4" xfId="49" applyNumberFormat="1" applyFont="1" applyFill="1" applyBorder="1" applyAlignment="1">
      <alignment horizontal="center" vertical="center"/>
    </xf>
    <xf numFmtId="1" fontId="0" fillId="0" borderId="5" xfId="49" applyNumberFormat="1" applyFont="1" applyFill="1" applyBorder="1" applyAlignment="1">
      <alignment horizontal="center" vertical="center"/>
    </xf>
    <xf numFmtId="2" fontId="0" fillId="0" borderId="5" xfId="49" applyNumberFormat="1" applyFont="1" applyFill="1" applyBorder="1" applyAlignment="1">
      <alignment horizontal="center" vertical="center"/>
    </xf>
    <xf numFmtId="2" fontId="0" fillId="0" borderId="6" xfId="49" applyNumberFormat="1" applyFont="1" applyFill="1" applyBorder="1" applyAlignment="1">
      <alignment horizontal="center" vertical="center"/>
    </xf>
    <xf numFmtId="0" fontId="3" fillId="4" borderId="7" xfId="49" applyNumberFormat="1" applyFont="1" applyFill="1" applyBorder="1" applyAlignment="1">
      <alignment horizontal="center" vertical="center"/>
    </xf>
    <xf numFmtId="1" fontId="0" fillId="0" borderId="8" xfId="49" applyNumberFormat="1" applyFont="1" applyFill="1" applyBorder="1" applyAlignment="1">
      <alignment horizontal="center" vertical="center"/>
    </xf>
    <xf numFmtId="2" fontId="0" fillId="0" borderId="8" xfId="49" applyNumberFormat="1" applyFont="1" applyFill="1" applyBorder="1" applyAlignment="1">
      <alignment horizontal="center" vertical="center"/>
    </xf>
    <xf numFmtId="2" fontId="0" fillId="0" borderId="9" xfId="49" applyNumberFormat="1" applyFont="1" applyFill="1" applyBorder="1" applyAlignment="1">
      <alignment horizontal="center" vertical="center"/>
    </xf>
    <xf numFmtId="0" fontId="1" fillId="2" borderId="0" xfId="49" applyNumberFormat="1" applyFont="1" applyFill="1" applyAlignment="1">
      <alignment horizontal="center" vertical="center"/>
    </xf>
    <xf numFmtId="0" fontId="1" fillId="0" borderId="0" xfId="49" applyNumberFormat="1" applyFont="1" applyFill="1" applyBorder="1" applyAlignment="1">
      <alignment vertical="center"/>
    </xf>
    <xf numFmtId="0" fontId="3" fillId="4" borderId="10" xfId="49" applyNumberFormat="1" applyFont="1" applyFill="1" applyBorder="1" applyAlignment="1">
      <alignment horizontal="center" vertical="center"/>
    </xf>
    <xf numFmtId="0" fontId="4" fillId="5" borderId="10" xfId="49" applyNumberFormat="1" applyFont="1" applyFill="1" applyBorder="1" applyAlignment="1">
      <alignment horizontal="center" vertical="center" wrapText="1"/>
    </xf>
    <xf numFmtId="0" fontId="2" fillId="2" borderId="10" xfId="49" applyNumberFormat="1" applyFont="1" applyFill="1" applyBorder="1" applyAlignment="1">
      <alignment horizontal="center" vertical="center" wrapText="1"/>
    </xf>
    <xf numFmtId="2" fontId="5" fillId="6" borderId="10" xfId="49" applyNumberFormat="1" applyFont="1" applyFill="1" applyBorder="1" applyAlignment="1">
      <alignment horizontal="center" vertical="center"/>
    </xf>
    <xf numFmtId="0" fontId="6" fillId="0" borderId="10" xfId="49" applyNumberFormat="1" applyFont="1" applyFill="1" applyBorder="1" applyAlignment="1">
      <alignment horizontal="center" vertical="center"/>
    </xf>
    <xf numFmtId="0" fontId="7" fillId="0" borderId="10" xfId="49" applyNumberFormat="1" applyFont="1" applyFill="1" applyBorder="1" applyAlignment="1">
      <alignment vertical="center"/>
    </xf>
    <xf numFmtId="0" fontId="7" fillId="0" borderId="10" xfId="49" applyNumberFormat="1" applyFont="1" applyFill="1" applyBorder="1" applyAlignment="1">
      <alignment horizontal="center" vertical="center"/>
    </xf>
    <xf numFmtId="0" fontId="7" fillId="0" borderId="10" xfId="49" applyNumberFormat="1" applyFont="1" applyFill="1" applyBorder="1" applyAlignment="1">
      <alignment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8">
    <dxf>
      <font>
        <i val="1"/>
        <color rgb="FF6B7280"/>
      </font>
      <fill>
        <patternFill patternType="solid">
          <bgColor rgb="FFE5E7EB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MetricsTable" displayName="MetricsTable" ref="A1:J217" totalsRowShown="0">
  <autoFilter xmlns:etc="http://www.wps.cn/officeDocument/2017/etCustomData" ref="A1:J217" etc:filterBottomFollowUsedRange="0"/>
  <tableColumns count="10">
    <tableColumn id="1" name="参考指标影响系数"/>
    <tableColumn id="2" name="指标ID"/>
    <tableColumn id="3" name="指标名称"/>
    <tableColumn id="4" name="指标类别"/>
    <tableColumn id="5" name="是否启用"/>
    <tableColumn id="6" name="判断方向"/>
    <tableColumn id="7" name="建议阈值"/>
    <tableColumn id="8" name="指标说明"/>
    <tableColumn id="9" name="对应脚本"/>
    <tableColumn id="10" name="修改备注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17"/>
  <sheetViews>
    <sheetView showGridLines="0" zoomScale="85" zoomScaleNormal="85" workbookViewId="0">
      <selection activeCell="A1" sqref="A1:J217"/>
    </sheetView>
  </sheetViews>
  <sheetFormatPr defaultColWidth="9" defaultRowHeight="14"/>
  <cols>
    <col min="1" max="1" width="18" customWidth="1"/>
    <col min="2" max="2" width="11" customWidth="1"/>
    <col min="3" max="3" width="22" customWidth="1"/>
    <col min="4" max="4" width="15" customWidth="1"/>
    <col min="5" max="7" width="13" customWidth="1"/>
    <col min="8" max="8" width="48" customWidth="1"/>
    <col min="9" max="9" width="54" customWidth="1"/>
    <col min="10" max="10" width="24" customWidth="1"/>
  </cols>
  <sheetData>
    <row r="1" ht="34" customHeight="1" spans="1:10">
      <c r="A1" s="19" t="s">
        <v>0</v>
      </c>
      <c r="B1" s="19" t="s">
        <v>1</v>
      </c>
      <c r="C1" s="19" t="s">
        <v>2</v>
      </c>
      <c r="D1" s="19" t="s">
        <v>3</v>
      </c>
      <c r="E1" s="19" t="s">
        <v>4</v>
      </c>
      <c r="F1" s="19" t="s">
        <v>5</v>
      </c>
      <c r="G1" s="19" t="s">
        <v>6</v>
      </c>
      <c r="H1" s="19" t="s">
        <v>7</v>
      </c>
      <c r="I1" s="19" t="s">
        <v>8</v>
      </c>
      <c r="J1" s="19" t="s">
        <v>9</v>
      </c>
    </row>
    <row r="2" ht="26" spans="1:10">
      <c r="A2" s="20">
        <v>7</v>
      </c>
      <c r="B2" s="21" t="s">
        <v>10</v>
      </c>
      <c r="C2" s="22" t="s">
        <v>11</v>
      </c>
      <c r="D2" s="23" t="s">
        <v>12</v>
      </c>
      <c r="E2" s="23" t="s">
        <v>13</v>
      </c>
      <c r="F2" s="23" t="s">
        <v>14</v>
      </c>
      <c r="G2" s="23">
        <v>60</v>
      </c>
      <c r="H2" s="24" t="s">
        <v>15</v>
      </c>
      <c r="I2" s="24" t="s">
        <v>16</v>
      </c>
      <c r="J2" s="24" t="s">
        <v>17</v>
      </c>
    </row>
    <row r="3" ht="26" spans="1:10">
      <c r="A3" s="20">
        <v>7.25</v>
      </c>
      <c r="B3" s="21" t="s">
        <v>18</v>
      </c>
      <c r="C3" s="22" t="s">
        <v>19</v>
      </c>
      <c r="D3" s="23" t="s">
        <v>12</v>
      </c>
      <c r="E3" s="23" t="s">
        <v>13</v>
      </c>
      <c r="F3" s="23" t="s">
        <v>14</v>
      </c>
      <c r="G3" s="23">
        <v>60</v>
      </c>
      <c r="H3" s="24" t="s">
        <v>20</v>
      </c>
      <c r="I3" s="24" t="s">
        <v>21</v>
      </c>
      <c r="J3" s="24" t="s">
        <v>17</v>
      </c>
    </row>
    <row r="4" ht="26" spans="1:10">
      <c r="A4" s="20">
        <v>7.5</v>
      </c>
      <c r="B4" s="21" t="s">
        <v>22</v>
      </c>
      <c r="C4" s="22" t="s">
        <v>23</v>
      </c>
      <c r="D4" s="23" t="s">
        <v>12</v>
      </c>
      <c r="E4" s="23" t="s">
        <v>13</v>
      </c>
      <c r="F4" s="23" t="s">
        <v>14</v>
      </c>
      <c r="G4" s="23">
        <v>60</v>
      </c>
      <c r="H4" s="24" t="s">
        <v>24</v>
      </c>
      <c r="I4" s="24" t="s">
        <v>25</v>
      </c>
      <c r="J4" s="24" t="s">
        <v>17</v>
      </c>
    </row>
    <row r="5" ht="26" spans="1:10">
      <c r="A5" s="20">
        <v>7</v>
      </c>
      <c r="B5" s="21" t="s">
        <v>26</v>
      </c>
      <c r="C5" s="22" t="s">
        <v>27</v>
      </c>
      <c r="D5" s="23" t="s">
        <v>12</v>
      </c>
      <c r="E5" s="23" t="s">
        <v>13</v>
      </c>
      <c r="F5" s="23" t="s">
        <v>14</v>
      </c>
      <c r="G5" s="23">
        <v>60</v>
      </c>
      <c r="H5" s="24" t="s">
        <v>28</v>
      </c>
      <c r="I5" s="24" t="s">
        <v>29</v>
      </c>
      <c r="J5" s="24" t="s">
        <v>17</v>
      </c>
    </row>
    <row r="6" ht="26" spans="1:10">
      <c r="A6" s="20">
        <v>7.25</v>
      </c>
      <c r="B6" s="21" t="s">
        <v>30</v>
      </c>
      <c r="C6" s="22" t="s">
        <v>31</v>
      </c>
      <c r="D6" s="23" t="s">
        <v>12</v>
      </c>
      <c r="E6" s="23" t="s">
        <v>13</v>
      </c>
      <c r="F6" s="23" t="s">
        <v>14</v>
      </c>
      <c r="G6" s="23">
        <v>60</v>
      </c>
      <c r="H6" s="24" t="s">
        <v>32</v>
      </c>
      <c r="I6" s="24" t="s">
        <v>33</v>
      </c>
      <c r="J6" s="24" t="s">
        <v>17</v>
      </c>
    </row>
    <row r="7" ht="26" spans="1:10">
      <c r="A7" s="20">
        <v>7.5</v>
      </c>
      <c r="B7" s="21" t="s">
        <v>34</v>
      </c>
      <c r="C7" s="22" t="s">
        <v>35</v>
      </c>
      <c r="D7" s="23" t="s">
        <v>12</v>
      </c>
      <c r="E7" s="23" t="s">
        <v>13</v>
      </c>
      <c r="F7" s="23" t="s">
        <v>14</v>
      </c>
      <c r="G7" s="23">
        <v>60</v>
      </c>
      <c r="H7" s="24" t="s">
        <v>36</v>
      </c>
      <c r="I7" s="24" t="s">
        <v>37</v>
      </c>
      <c r="J7" s="24" t="s">
        <v>17</v>
      </c>
    </row>
    <row r="8" ht="26" spans="1:10">
      <c r="A8" s="20">
        <v>7</v>
      </c>
      <c r="B8" s="21" t="s">
        <v>38</v>
      </c>
      <c r="C8" s="22" t="s">
        <v>39</v>
      </c>
      <c r="D8" s="23" t="s">
        <v>12</v>
      </c>
      <c r="E8" s="23" t="s">
        <v>13</v>
      </c>
      <c r="F8" s="23" t="s">
        <v>14</v>
      </c>
      <c r="G8" s="23">
        <v>60</v>
      </c>
      <c r="H8" s="24" t="s">
        <v>40</v>
      </c>
      <c r="I8" s="24" t="s">
        <v>41</v>
      </c>
      <c r="J8" s="24" t="s">
        <v>17</v>
      </c>
    </row>
    <row r="9" ht="26" spans="1:10">
      <c r="A9" s="20">
        <v>7.25</v>
      </c>
      <c r="B9" s="21" t="s">
        <v>42</v>
      </c>
      <c r="C9" s="22" t="s">
        <v>43</v>
      </c>
      <c r="D9" s="23" t="s">
        <v>12</v>
      </c>
      <c r="E9" s="23" t="s">
        <v>13</v>
      </c>
      <c r="F9" s="23" t="s">
        <v>14</v>
      </c>
      <c r="G9" s="23">
        <v>60</v>
      </c>
      <c r="H9" s="24" t="s">
        <v>44</v>
      </c>
      <c r="I9" s="24" t="s">
        <v>45</v>
      </c>
      <c r="J9" s="24" t="s">
        <v>17</v>
      </c>
    </row>
    <row r="10" ht="26" spans="1:10">
      <c r="A10" s="20">
        <v>7.5</v>
      </c>
      <c r="B10" s="21" t="s">
        <v>46</v>
      </c>
      <c r="C10" s="22" t="s">
        <v>47</v>
      </c>
      <c r="D10" s="23" t="s">
        <v>12</v>
      </c>
      <c r="E10" s="23" t="s">
        <v>13</v>
      </c>
      <c r="F10" s="23" t="s">
        <v>14</v>
      </c>
      <c r="G10" s="23">
        <v>60</v>
      </c>
      <c r="H10" s="24" t="s">
        <v>48</v>
      </c>
      <c r="I10" s="24" t="s">
        <v>49</v>
      </c>
      <c r="J10" s="24" t="s">
        <v>17</v>
      </c>
    </row>
    <row r="11" ht="26" spans="1:10">
      <c r="A11" s="20">
        <v>7</v>
      </c>
      <c r="B11" s="21" t="s">
        <v>50</v>
      </c>
      <c r="C11" s="22" t="s">
        <v>51</v>
      </c>
      <c r="D11" s="23" t="s">
        <v>12</v>
      </c>
      <c r="E11" s="23" t="s">
        <v>13</v>
      </c>
      <c r="F11" s="23" t="s">
        <v>14</v>
      </c>
      <c r="G11" s="23">
        <v>60</v>
      </c>
      <c r="H11" s="24" t="s">
        <v>52</v>
      </c>
      <c r="I11" s="24" t="s">
        <v>53</v>
      </c>
      <c r="J11" s="24" t="s">
        <v>17</v>
      </c>
    </row>
    <row r="12" ht="26" spans="1:10">
      <c r="A12" s="20">
        <v>7.25</v>
      </c>
      <c r="B12" s="21" t="s">
        <v>54</v>
      </c>
      <c r="C12" s="22" t="s">
        <v>55</v>
      </c>
      <c r="D12" s="23" t="s">
        <v>12</v>
      </c>
      <c r="E12" s="23" t="s">
        <v>13</v>
      </c>
      <c r="F12" s="23" t="s">
        <v>14</v>
      </c>
      <c r="G12" s="23">
        <v>60</v>
      </c>
      <c r="H12" s="24" t="s">
        <v>56</v>
      </c>
      <c r="I12" s="24" t="s">
        <v>57</v>
      </c>
      <c r="J12" s="24" t="s">
        <v>17</v>
      </c>
    </row>
    <row r="13" ht="26" spans="1:10">
      <c r="A13" s="20">
        <v>7.5</v>
      </c>
      <c r="B13" s="21" t="s">
        <v>58</v>
      </c>
      <c r="C13" s="22" t="s">
        <v>59</v>
      </c>
      <c r="D13" s="23" t="s">
        <v>12</v>
      </c>
      <c r="E13" s="23" t="s">
        <v>13</v>
      </c>
      <c r="F13" s="23" t="s">
        <v>14</v>
      </c>
      <c r="G13" s="23">
        <v>60</v>
      </c>
      <c r="H13" s="24" t="s">
        <v>60</v>
      </c>
      <c r="I13" s="24" t="s">
        <v>61</v>
      </c>
      <c r="J13" s="24" t="s">
        <v>17</v>
      </c>
    </row>
    <row r="14" ht="26" spans="1:10">
      <c r="A14" s="20">
        <v>7</v>
      </c>
      <c r="B14" s="21" t="s">
        <v>62</v>
      </c>
      <c r="C14" s="22" t="s">
        <v>63</v>
      </c>
      <c r="D14" s="23" t="s">
        <v>12</v>
      </c>
      <c r="E14" s="23" t="s">
        <v>13</v>
      </c>
      <c r="F14" s="23" t="s">
        <v>64</v>
      </c>
      <c r="G14" s="23">
        <v>60</v>
      </c>
      <c r="H14" s="24" t="s">
        <v>65</v>
      </c>
      <c r="I14" s="24" t="s">
        <v>66</v>
      </c>
      <c r="J14" s="24" t="s">
        <v>17</v>
      </c>
    </row>
    <row r="15" ht="26" spans="1:10">
      <c r="A15" s="20">
        <v>7.25</v>
      </c>
      <c r="B15" s="21" t="s">
        <v>67</v>
      </c>
      <c r="C15" s="22" t="s">
        <v>68</v>
      </c>
      <c r="D15" s="23" t="s">
        <v>12</v>
      </c>
      <c r="E15" s="23" t="s">
        <v>13</v>
      </c>
      <c r="F15" s="23" t="s">
        <v>14</v>
      </c>
      <c r="G15" s="23">
        <v>60</v>
      </c>
      <c r="H15" s="24" t="s">
        <v>69</v>
      </c>
      <c r="I15" s="24" t="s">
        <v>70</v>
      </c>
      <c r="J15" s="24" t="s">
        <v>17</v>
      </c>
    </row>
    <row r="16" ht="26" spans="1:10">
      <c r="A16" s="20">
        <v>7.5</v>
      </c>
      <c r="B16" s="21" t="s">
        <v>71</v>
      </c>
      <c r="C16" s="22" t="s">
        <v>72</v>
      </c>
      <c r="D16" s="23" t="s">
        <v>12</v>
      </c>
      <c r="E16" s="23" t="s">
        <v>13</v>
      </c>
      <c r="F16" s="23" t="s">
        <v>14</v>
      </c>
      <c r="G16" s="23">
        <v>60</v>
      </c>
      <c r="H16" s="24" t="s">
        <v>73</v>
      </c>
      <c r="I16" s="24" t="s">
        <v>74</v>
      </c>
      <c r="J16" s="24" t="s">
        <v>17</v>
      </c>
    </row>
    <row r="17" ht="26" spans="1:10">
      <c r="A17" s="20">
        <v>7</v>
      </c>
      <c r="B17" s="21" t="s">
        <v>75</v>
      </c>
      <c r="C17" s="22" t="s">
        <v>76</v>
      </c>
      <c r="D17" s="23" t="s">
        <v>12</v>
      </c>
      <c r="E17" s="23" t="s">
        <v>13</v>
      </c>
      <c r="F17" s="23" t="s">
        <v>14</v>
      </c>
      <c r="G17" s="23">
        <v>60</v>
      </c>
      <c r="H17" s="24" t="s">
        <v>77</v>
      </c>
      <c r="I17" s="24" t="s">
        <v>78</v>
      </c>
      <c r="J17" s="24" t="s">
        <v>17</v>
      </c>
    </row>
    <row r="18" ht="26" spans="1:10">
      <c r="A18" s="20">
        <v>7.25</v>
      </c>
      <c r="B18" s="21" t="s">
        <v>79</v>
      </c>
      <c r="C18" s="22" t="s">
        <v>80</v>
      </c>
      <c r="D18" s="23" t="s">
        <v>12</v>
      </c>
      <c r="E18" s="23" t="s">
        <v>13</v>
      </c>
      <c r="F18" s="23" t="s">
        <v>14</v>
      </c>
      <c r="G18" s="23">
        <v>60</v>
      </c>
      <c r="H18" s="24" t="s">
        <v>81</v>
      </c>
      <c r="I18" s="24" t="s">
        <v>82</v>
      </c>
      <c r="J18" s="24" t="s">
        <v>17</v>
      </c>
    </row>
    <row r="19" ht="26" spans="1:10">
      <c r="A19" s="20">
        <v>7.5</v>
      </c>
      <c r="B19" s="21" t="s">
        <v>83</v>
      </c>
      <c r="C19" s="22" t="s">
        <v>84</v>
      </c>
      <c r="D19" s="23" t="s">
        <v>12</v>
      </c>
      <c r="E19" s="23" t="s">
        <v>13</v>
      </c>
      <c r="F19" s="23" t="s">
        <v>64</v>
      </c>
      <c r="G19" s="23">
        <v>60</v>
      </c>
      <c r="H19" s="24" t="s">
        <v>85</v>
      </c>
      <c r="I19" s="24" t="s">
        <v>86</v>
      </c>
      <c r="J19" s="24" t="s">
        <v>17</v>
      </c>
    </row>
    <row r="20" ht="26" spans="1:10">
      <c r="A20" s="20">
        <v>6</v>
      </c>
      <c r="B20" s="21" t="s">
        <v>87</v>
      </c>
      <c r="C20" s="22" t="s">
        <v>88</v>
      </c>
      <c r="D20" s="23" t="s">
        <v>89</v>
      </c>
      <c r="E20" s="23" t="s">
        <v>13</v>
      </c>
      <c r="F20" s="23" t="s">
        <v>14</v>
      </c>
      <c r="G20" s="23">
        <v>60</v>
      </c>
      <c r="H20" s="24" t="s">
        <v>90</v>
      </c>
      <c r="I20" s="24" t="s">
        <v>91</v>
      </c>
      <c r="J20" s="24" t="s">
        <v>17</v>
      </c>
    </row>
    <row r="21" ht="26" spans="1:10">
      <c r="A21" s="20">
        <v>6.25</v>
      </c>
      <c r="B21" s="21" t="s">
        <v>92</v>
      </c>
      <c r="C21" s="22" t="s">
        <v>93</v>
      </c>
      <c r="D21" s="23" t="s">
        <v>89</v>
      </c>
      <c r="E21" s="23" t="s">
        <v>13</v>
      </c>
      <c r="F21" s="23" t="s">
        <v>14</v>
      </c>
      <c r="G21" s="23">
        <v>60</v>
      </c>
      <c r="H21" s="24" t="s">
        <v>94</v>
      </c>
      <c r="I21" s="24" t="s">
        <v>95</v>
      </c>
      <c r="J21" s="24" t="s">
        <v>17</v>
      </c>
    </row>
    <row r="22" ht="26" spans="1:10">
      <c r="A22" s="20">
        <v>6.5</v>
      </c>
      <c r="B22" s="21" t="s">
        <v>96</v>
      </c>
      <c r="C22" s="22" t="s">
        <v>97</v>
      </c>
      <c r="D22" s="23" t="s">
        <v>89</v>
      </c>
      <c r="E22" s="23" t="s">
        <v>13</v>
      </c>
      <c r="F22" s="23" t="s">
        <v>14</v>
      </c>
      <c r="G22" s="23">
        <v>60</v>
      </c>
      <c r="H22" s="24" t="s">
        <v>98</v>
      </c>
      <c r="I22" s="24" t="s">
        <v>99</v>
      </c>
      <c r="J22" s="24" t="s">
        <v>17</v>
      </c>
    </row>
    <row r="23" ht="26" spans="1:10">
      <c r="A23" s="20">
        <v>6</v>
      </c>
      <c r="B23" s="21" t="s">
        <v>100</v>
      </c>
      <c r="C23" s="22" t="s">
        <v>101</v>
      </c>
      <c r="D23" s="23" t="s">
        <v>89</v>
      </c>
      <c r="E23" s="23" t="s">
        <v>13</v>
      </c>
      <c r="F23" s="23" t="s">
        <v>14</v>
      </c>
      <c r="G23" s="23">
        <v>60</v>
      </c>
      <c r="H23" s="24" t="s">
        <v>102</v>
      </c>
      <c r="I23" s="24" t="s">
        <v>103</v>
      </c>
      <c r="J23" s="24" t="s">
        <v>17</v>
      </c>
    </row>
    <row r="24" ht="26" spans="1:10">
      <c r="A24" s="20">
        <v>6.25</v>
      </c>
      <c r="B24" s="21" t="s">
        <v>104</v>
      </c>
      <c r="C24" s="22" t="s">
        <v>105</v>
      </c>
      <c r="D24" s="23" t="s">
        <v>89</v>
      </c>
      <c r="E24" s="23" t="s">
        <v>13</v>
      </c>
      <c r="F24" s="23" t="s">
        <v>14</v>
      </c>
      <c r="G24" s="23">
        <v>60</v>
      </c>
      <c r="H24" s="24" t="s">
        <v>106</v>
      </c>
      <c r="I24" s="24" t="s">
        <v>107</v>
      </c>
      <c r="J24" s="24" t="s">
        <v>17</v>
      </c>
    </row>
    <row r="25" ht="26" spans="1:10">
      <c r="A25" s="20">
        <v>6.5</v>
      </c>
      <c r="B25" s="21" t="s">
        <v>108</v>
      </c>
      <c r="C25" s="22" t="s">
        <v>109</v>
      </c>
      <c r="D25" s="23" t="s">
        <v>89</v>
      </c>
      <c r="E25" s="23" t="s">
        <v>13</v>
      </c>
      <c r="F25" s="23" t="s">
        <v>14</v>
      </c>
      <c r="G25" s="23">
        <v>60</v>
      </c>
      <c r="H25" s="24" t="s">
        <v>110</v>
      </c>
      <c r="I25" s="24" t="s">
        <v>111</v>
      </c>
      <c r="J25" s="24" t="s">
        <v>17</v>
      </c>
    </row>
    <row r="26" ht="26" spans="1:10">
      <c r="A26" s="20">
        <v>6</v>
      </c>
      <c r="B26" s="21" t="s">
        <v>112</v>
      </c>
      <c r="C26" s="22" t="s">
        <v>113</v>
      </c>
      <c r="D26" s="23" t="s">
        <v>89</v>
      </c>
      <c r="E26" s="23" t="s">
        <v>13</v>
      </c>
      <c r="F26" s="23" t="s">
        <v>14</v>
      </c>
      <c r="G26" s="23">
        <v>60</v>
      </c>
      <c r="H26" s="24" t="s">
        <v>114</v>
      </c>
      <c r="I26" s="24" t="s">
        <v>115</v>
      </c>
      <c r="J26" s="24" t="s">
        <v>17</v>
      </c>
    </row>
    <row r="27" ht="26" spans="1:10">
      <c r="A27" s="20">
        <v>6.25</v>
      </c>
      <c r="B27" s="21" t="s">
        <v>116</v>
      </c>
      <c r="C27" s="22" t="s">
        <v>117</v>
      </c>
      <c r="D27" s="23" t="s">
        <v>89</v>
      </c>
      <c r="E27" s="23" t="s">
        <v>13</v>
      </c>
      <c r="F27" s="23" t="s">
        <v>14</v>
      </c>
      <c r="G27" s="23">
        <v>60</v>
      </c>
      <c r="H27" s="24" t="s">
        <v>118</v>
      </c>
      <c r="I27" s="24" t="s">
        <v>119</v>
      </c>
      <c r="J27" s="24" t="s">
        <v>17</v>
      </c>
    </row>
    <row r="28" ht="26" spans="1:10">
      <c r="A28" s="20">
        <v>6.5</v>
      </c>
      <c r="B28" s="21" t="s">
        <v>120</v>
      </c>
      <c r="C28" s="22" t="s">
        <v>121</v>
      </c>
      <c r="D28" s="23" t="s">
        <v>89</v>
      </c>
      <c r="E28" s="23" t="s">
        <v>13</v>
      </c>
      <c r="F28" s="23" t="s">
        <v>14</v>
      </c>
      <c r="G28" s="23">
        <v>60</v>
      </c>
      <c r="H28" s="24" t="s">
        <v>122</v>
      </c>
      <c r="I28" s="24" t="s">
        <v>123</v>
      </c>
      <c r="J28" s="24" t="s">
        <v>17</v>
      </c>
    </row>
    <row r="29" ht="26" spans="1:10">
      <c r="A29" s="20">
        <v>6</v>
      </c>
      <c r="B29" s="21" t="s">
        <v>124</v>
      </c>
      <c r="C29" s="22" t="s">
        <v>125</v>
      </c>
      <c r="D29" s="23" t="s">
        <v>89</v>
      </c>
      <c r="E29" s="23" t="s">
        <v>13</v>
      </c>
      <c r="F29" s="23" t="s">
        <v>14</v>
      </c>
      <c r="G29" s="23">
        <v>60</v>
      </c>
      <c r="H29" s="24" t="s">
        <v>126</v>
      </c>
      <c r="I29" s="24" t="s">
        <v>127</v>
      </c>
      <c r="J29" s="24" t="s">
        <v>17</v>
      </c>
    </row>
    <row r="30" ht="26" spans="1:10">
      <c r="A30" s="20">
        <v>6.25</v>
      </c>
      <c r="B30" s="21" t="s">
        <v>128</v>
      </c>
      <c r="C30" s="22" t="s">
        <v>129</v>
      </c>
      <c r="D30" s="23" t="s">
        <v>89</v>
      </c>
      <c r="E30" s="23" t="s">
        <v>13</v>
      </c>
      <c r="F30" s="23" t="s">
        <v>14</v>
      </c>
      <c r="G30" s="23">
        <v>60</v>
      </c>
      <c r="H30" s="24" t="s">
        <v>130</v>
      </c>
      <c r="I30" s="24" t="s">
        <v>131</v>
      </c>
      <c r="J30" s="24" t="s">
        <v>17</v>
      </c>
    </row>
    <row r="31" ht="26" spans="1:10">
      <c r="A31" s="20">
        <v>6.5</v>
      </c>
      <c r="B31" s="21" t="s">
        <v>132</v>
      </c>
      <c r="C31" s="22" t="s">
        <v>133</v>
      </c>
      <c r="D31" s="23" t="s">
        <v>89</v>
      </c>
      <c r="E31" s="23" t="s">
        <v>13</v>
      </c>
      <c r="F31" s="23" t="s">
        <v>14</v>
      </c>
      <c r="G31" s="23">
        <v>60</v>
      </c>
      <c r="H31" s="24" t="s">
        <v>134</v>
      </c>
      <c r="I31" s="24" t="s">
        <v>135</v>
      </c>
      <c r="J31" s="24" t="s">
        <v>17</v>
      </c>
    </row>
    <row r="32" ht="26" spans="1:10">
      <c r="A32" s="20">
        <v>6</v>
      </c>
      <c r="B32" s="21" t="s">
        <v>136</v>
      </c>
      <c r="C32" s="22" t="s">
        <v>137</v>
      </c>
      <c r="D32" s="23" t="s">
        <v>89</v>
      </c>
      <c r="E32" s="23" t="s">
        <v>13</v>
      </c>
      <c r="F32" s="23" t="s">
        <v>14</v>
      </c>
      <c r="G32" s="23">
        <v>60</v>
      </c>
      <c r="H32" s="24" t="s">
        <v>138</v>
      </c>
      <c r="I32" s="24" t="s">
        <v>139</v>
      </c>
      <c r="J32" s="24" t="s">
        <v>17</v>
      </c>
    </row>
    <row r="33" ht="26" spans="1:10">
      <c r="A33" s="20">
        <v>6.25</v>
      </c>
      <c r="B33" s="21" t="s">
        <v>140</v>
      </c>
      <c r="C33" s="22" t="s">
        <v>141</v>
      </c>
      <c r="D33" s="23" t="s">
        <v>89</v>
      </c>
      <c r="E33" s="23" t="s">
        <v>13</v>
      </c>
      <c r="F33" s="23" t="s">
        <v>14</v>
      </c>
      <c r="G33" s="23">
        <v>60</v>
      </c>
      <c r="H33" s="24" t="s">
        <v>142</v>
      </c>
      <c r="I33" s="24" t="s">
        <v>143</v>
      </c>
      <c r="J33" s="24" t="s">
        <v>17</v>
      </c>
    </row>
    <row r="34" ht="26" spans="1:10">
      <c r="A34" s="20">
        <v>6.5</v>
      </c>
      <c r="B34" s="21" t="s">
        <v>144</v>
      </c>
      <c r="C34" s="22" t="s">
        <v>145</v>
      </c>
      <c r="D34" s="23" t="s">
        <v>89</v>
      </c>
      <c r="E34" s="23" t="s">
        <v>13</v>
      </c>
      <c r="F34" s="23" t="s">
        <v>14</v>
      </c>
      <c r="G34" s="23">
        <v>60</v>
      </c>
      <c r="H34" s="24" t="s">
        <v>146</v>
      </c>
      <c r="I34" s="24" t="s">
        <v>147</v>
      </c>
      <c r="J34" s="24" t="s">
        <v>17</v>
      </c>
    </row>
    <row r="35" ht="26" spans="1:10">
      <c r="A35" s="20">
        <v>6</v>
      </c>
      <c r="B35" s="21" t="s">
        <v>148</v>
      </c>
      <c r="C35" s="22" t="s">
        <v>149</v>
      </c>
      <c r="D35" s="23" t="s">
        <v>89</v>
      </c>
      <c r="E35" s="23" t="s">
        <v>13</v>
      </c>
      <c r="F35" s="23" t="s">
        <v>14</v>
      </c>
      <c r="G35" s="23">
        <v>60</v>
      </c>
      <c r="H35" s="24" t="s">
        <v>150</v>
      </c>
      <c r="I35" s="24" t="s">
        <v>151</v>
      </c>
      <c r="J35" s="24" t="s">
        <v>17</v>
      </c>
    </row>
    <row r="36" ht="26" spans="1:10">
      <c r="A36" s="20">
        <v>6.25</v>
      </c>
      <c r="B36" s="21" t="s">
        <v>152</v>
      </c>
      <c r="C36" s="22" t="s">
        <v>153</v>
      </c>
      <c r="D36" s="23" t="s">
        <v>89</v>
      </c>
      <c r="E36" s="23" t="s">
        <v>13</v>
      </c>
      <c r="F36" s="23" t="s">
        <v>64</v>
      </c>
      <c r="G36" s="23">
        <v>60</v>
      </c>
      <c r="H36" s="24" t="s">
        <v>154</v>
      </c>
      <c r="I36" s="24" t="s">
        <v>155</v>
      </c>
      <c r="J36" s="24" t="s">
        <v>17</v>
      </c>
    </row>
    <row r="37" ht="26" spans="1:10">
      <c r="A37" s="20">
        <v>6.5</v>
      </c>
      <c r="B37" s="21" t="s">
        <v>156</v>
      </c>
      <c r="C37" s="22" t="s">
        <v>157</v>
      </c>
      <c r="D37" s="23" t="s">
        <v>89</v>
      </c>
      <c r="E37" s="23" t="s">
        <v>13</v>
      </c>
      <c r="F37" s="23" t="s">
        <v>14</v>
      </c>
      <c r="G37" s="23">
        <v>60</v>
      </c>
      <c r="H37" s="24" t="s">
        <v>158</v>
      </c>
      <c r="I37" s="24" t="s">
        <v>159</v>
      </c>
      <c r="J37" s="24" t="s">
        <v>17</v>
      </c>
    </row>
    <row r="38" ht="26" spans="1:10">
      <c r="A38" s="20">
        <v>8</v>
      </c>
      <c r="B38" s="21" t="s">
        <v>160</v>
      </c>
      <c r="C38" s="22" t="s">
        <v>161</v>
      </c>
      <c r="D38" s="23" t="s">
        <v>162</v>
      </c>
      <c r="E38" s="23" t="s">
        <v>13</v>
      </c>
      <c r="F38" s="23" t="s">
        <v>14</v>
      </c>
      <c r="G38" s="23">
        <v>60</v>
      </c>
      <c r="H38" s="24" t="s">
        <v>163</v>
      </c>
      <c r="I38" s="24" t="s">
        <v>164</v>
      </c>
      <c r="J38" s="24" t="s">
        <v>17</v>
      </c>
    </row>
    <row r="39" ht="26" spans="1:10">
      <c r="A39" s="20">
        <v>8.25</v>
      </c>
      <c r="B39" s="21" t="s">
        <v>165</v>
      </c>
      <c r="C39" s="22" t="s">
        <v>166</v>
      </c>
      <c r="D39" s="23" t="s">
        <v>162</v>
      </c>
      <c r="E39" s="23" t="s">
        <v>13</v>
      </c>
      <c r="F39" s="23" t="s">
        <v>14</v>
      </c>
      <c r="G39" s="23">
        <v>60</v>
      </c>
      <c r="H39" s="24" t="s">
        <v>167</v>
      </c>
      <c r="I39" s="24" t="s">
        <v>168</v>
      </c>
      <c r="J39" s="24" t="s">
        <v>17</v>
      </c>
    </row>
    <row r="40" ht="26" spans="1:10">
      <c r="A40" s="20">
        <v>8.5</v>
      </c>
      <c r="B40" s="21" t="s">
        <v>169</v>
      </c>
      <c r="C40" s="22" t="s">
        <v>170</v>
      </c>
      <c r="D40" s="23" t="s">
        <v>162</v>
      </c>
      <c r="E40" s="23" t="s">
        <v>13</v>
      </c>
      <c r="F40" s="23" t="s">
        <v>14</v>
      </c>
      <c r="G40" s="23">
        <v>60</v>
      </c>
      <c r="H40" s="24" t="s">
        <v>171</v>
      </c>
      <c r="I40" s="24" t="s">
        <v>172</v>
      </c>
      <c r="J40" s="24" t="s">
        <v>17</v>
      </c>
    </row>
    <row r="41" ht="26" spans="1:10">
      <c r="A41" s="20">
        <v>8</v>
      </c>
      <c r="B41" s="21" t="s">
        <v>173</v>
      </c>
      <c r="C41" s="22" t="s">
        <v>174</v>
      </c>
      <c r="D41" s="23" t="s">
        <v>162</v>
      </c>
      <c r="E41" s="23" t="s">
        <v>13</v>
      </c>
      <c r="F41" s="23" t="s">
        <v>14</v>
      </c>
      <c r="G41" s="23">
        <v>60</v>
      </c>
      <c r="H41" s="24" t="s">
        <v>175</v>
      </c>
      <c r="I41" s="24" t="s">
        <v>176</v>
      </c>
      <c r="J41" s="24" t="s">
        <v>17</v>
      </c>
    </row>
    <row r="42" ht="26" spans="1:10">
      <c r="A42" s="20">
        <v>8.25</v>
      </c>
      <c r="B42" s="21" t="s">
        <v>177</v>
      </c>
      <c r="C42" s="22" t="s">
        <v>178</v>
      </c>
      <c r="D42" s="23" t="s">
        <v>162</v>
      </c>
      <c r="E42" s="23" t="s">
        <v>13</v>
      </c>
      <c r="F42" s="23" t="s">
        <v>14</v>
      </c>
      <c r="G42" s="23">
        <v>60</v>
      </c>
      <c r="H42" s="24" t="s">
        <v>179</v>
      </c>
      <c r="I42" s="24" t="s">
        <v>180</v>
      </c>
      <c r="J42" s="24" t="s">
        <v>17</v>
      </c>
    </row>
    <row r="43" ht="26" spans="1:10">
      <c r="A43" s="20">
        <v>8.5</v>
      </c>
      <c r="B43" s="21" t="s">
        <v>181</v>
      </c>
      <c r="C43" s="22" t="s">
        <v>182</v>
      </c>
      <c r="D43" s="23" t="s">
        <v>162</v>
      </c>
      <c r="E43" s="23" t="s">
        <v>13</v>
      </c>
      <c r="F43" s="23" t="s">
        <v>14</v>
      </c>
      <c r="G43" s="23">
        <v>60</v>
      </c>
      <c r="H43" s="24" t="s">
        <v>183</v>
      </c>
      <c r="I43" s="24" t="s">
        <v>184</v>
      </c>
      <c r="J43" s="24" t="s">
        <v>17</v>
      </c>
    </row>
    <row r="44" ht="26" spans="1:10">
      <c r="A44" s="20">
        <v>8</v>
      </c>
      <c r="B44" s="21" t="s">
        <v>185</v>
      </c>
      <c r="C44" s="22" t="s">
        <v>186</v>
      </c>
      <c r="D44" s="23" t="s">
        <v>162</v>
      </c>
      <c r="E44" s="23" t="s">
        <v>13</v>
      </c>
      <c r="F44" s="23" t="s">
        <v>64</v>
      </c>
      <c r="G44" s="23">
        <v>60</v>
      </c>
      <c r="H44" s="24" t="s">
        <v>187</v>
      </c>
      <c r="I44" s="24" t="s">
        <v>188</v>
      </c>
      <c r="J44" s="24" t="s">
        <v>17</v>
      </c>
    </row>
    <row r="45" ht="26" spans="1:10">
      <c r="A45" s="20">
        <v>8.25</v>
      </c>
      <c r="B45" s="21" t="s">
        <v>189</v>
      </c>
      <c r="C45" s="22" t="s">
        <v>190</v>
      </c>
      <c r="D45" s="23" t="s">
        <v>162</v>
      </c>
      <c r="E45" s="23" t="s">
        <v>13</v>
      </c>
      <c r="F45" s="23" t="s">
        <v>64</v>
      </c>
      <c r="G45" s="23">
        <v>60</v>
      </c>
      <c r="H45" s="24" t="s">
        <v>191</v>
      </c>
      <c r="I45" s="24" t="s">
        <v>192</v>
      </c>
      <c r="J45" s="24" t="s">
        <v>17</v>
      </c>
    </row>
    <row r="46" ht="26" spans="1:10">
      <c r="A46" s="20">
        <v>8.5</v>
      </c>
      <c r="B46" s="21" t="s">
        <v>193</v>
      </c>
      <c r="C46" s="22" t="s">
        <v>194</v>
      </c>
      <c r="D46" s="23" t="s">
        <v>162</v>
      </c>
      <c r="E46" s="23" t="s">
        <v>13</v>
      </c>
      <c r="F46" s="23" t="s">
        <v>14</v>
      </c>
      <c r="G46" s="23">
        <v>60</v>
      </c>
      <c r="H46" s="24" t="s">
        <v>195</v>
      </c>
      <c r="I46" s="24" t="s">
        <v>196</v>
      </c>
      <c r="J46" s="24" t="s">
        <v>17</v>
      </c>
    </row>
    <row r="47" ht="26" spans="1:10">
      <c r="A47" s="20">
        <v>8</v>
      </c>
      <c r="B47" s="21" t="s">
        <v>197</v>
      </c>
      <c r="C47" s="22" t="s">
        <v>198</v>
      </c>
      <c r="D47" s="23" t="s">
        <v>162</v>
      </c>
      <c r="E47" s="23" t="s">
        <v>13</v>
      </c>
      <c r="F47" s="23" t="s">
        <v>14</v>
      </c>
      <c r="G47" s="23">
        <v>60</v>
      </c>
      <c r="H47" s="24" t="s">
        <v>199</v>
      </c>
      <c r="I47" s="24" t="s">
        <v>200</v>
      </c>
      <c r="J47" s="24" t="s">
        <v>17</v>
      </c>
    </row>
    <row r="48" ht="26" spans="1:10">
      <c r="A48" s="20">
        <v>8.25</v>
      </c>
      <c r="B48" s="21" t="s">
        <v>201</v>
      </c>
      <c r="C48" s="22" t="s">
        <v>202</v>
      </c>
      <c r="D48" s="23" t="s">
        <v>162</v>
      </c>
      <c r="E48" s="23" t="s">
        <v>13</v>
      </c>
      <c r="F48" s="23" t="s">
        <v>14</v>
      </c>
      <c r="G48" s="23">
        <v>60</v>
      </c>
      <c r="H48" s="24" t="s">
        <v>203</v>
      </c>
      <c r="I48" s="24" t="s">
        <v>204</v>
      </c>
      <c r="J48" s="24" t="s">
        <v>17</v>
      </c>
    </row>
    <row r="49" ht="26" spans="1:10">
      <c r="A49" s="20">
        <v>8.5</v>
      </c>
      <c r="B49" s="21" t="s">
        <v>205</v>
      </c>
      <c r="C49" s="22" t="s">
        <v>206</v>
      </c>
      <c r="D49" s="23" t="s">
        <v>162</v>
      </c>
      <c r="E49" s="23" t="s">
        <v>13</v>
      </c>
      <c r="F49" s="23" t="s">
        <v>14</v>
      </c>
      <c r="G49" s="23">
        <v>60</v>
      </c>
      <c r="H49" s="24" t="s">
        <v>207</v>
      </c>
      <c r="I49" s="24" t="s">
        <v>208</v>
      </c>
      <c r="J49" s="24" t="s">
        <v>17</v>
      </c>
    </row>
    <row r="50" ht="26" spans="1:10">
      <c r="A50" s="20">
        <v>8</v>
      </c>
      <c r="B50" s="21" t="s">
        <v>209</v>
      </c>
      <c r="C50" s="22" t="s">
        <v>210</v>
      </c>
      <c r="D50" s="23" t="s">
        <v>162</v>
      </c>
      <c r="E50" s="23" t="s">
        <v>13</v>
      </c>
      <c r="F50" s="23" t="s">
        <v>14</v>
      </c>
      <c r="G50" s="23">
        <v>60</v>
      </c>
      <c r="H50" s="24" t="s">
        <v>211</v>
      </c>
      <c r="I50" s="24" t="s">
        <v>212</v>
      </c>
      <c r="J50" s="24" t="s">
        <v>17</v>
      </c>
    </row>
    <row r="51" ht="26" spans="1:10">
      <c r="A51" s="20">
        <v>8.25</v>
      </c>
      <c r="B51" s="21" t="s">
        <v>213</v>
      </c>
      <c r="C51" s="22" t="s">
        <v>214</v>
      </c>
      <c r="D51" s="23" t="s">
        <v>162</v>
      </c>
      <c r="E51" s="23" t="s">
        <v>13</v>
      </c>
      <c r="F51" s="23" t="s">
        <v>14</v>
      </c>
      <c r="G51" s="23">
        <v>60</v>
      </c>
      <c r="H51" s="24" t="s">
        <v>215</v>
      </c>
      <c r="I51" s="24" t="s">
        <v>216</v>
      </c>
      <c r="J51" s="24" t="s">
        <v>17</v>
      </c>
    </row>
    <row r="52" ht="26" spans="1:10">
      <c r="A52" s="20">
        <v>8.5</v>
      </c>
      <c r="B52" s="21" t="s">
        <v>217</v>
      </c>
      <c r="C52" s="22" t="s">
        <v>218</v>
      </c>
      <c r="D52" s="23" t="s">
        <v>162</v>
      </c>
      <c r="E52" s="23" t="s">
        <v>13</v>
      </c>
      <c r="F52" s="23" t="s">
        <v>14</v>
      </c>
      <c r="G52" s="23">
        <v>60</v>
      </c>
      <c r="H52" s="24" t="s">
        <v>219</v>
      </c>
      <c r="I52" s="24" t="s">
        <v>220</v>
      </c>
      <c r="J52" s="24" t="s">
        <v>17</v>
      </c>
    </row>
    <row r="53" ht="26" spans="1:10">
      <c r="A53" s="20">
        <v>8</v>
      </c>
      <c r="B53" s="21" t="s">
        <v>221</v>
      </c>
      <c r="C53" s="22" t="s">
        <v>222</v>
      </c>
      <c r="D53" s="23" t="s">
        <v>162</v>
      </c>
      <c r="E53" s="23" t="s">
        <v>13</v>
      </c>
      <c r="F53" s="23" t="s">
        <v>14</v>
      </c>
      <c r="G53" s="23">
        <v>60</v>
      </c>
      <c r="H53" s="24" t="s">
        <v>223</v>
      </c>
      <c r="I53" s="24" t="s">
        <v>224</v>
      </c>
      <c r="J53" s="24" t="s">
        <v>17</v>
      </c>
    </row>
    <row r="54" ht="26" spans="1:10">
      <c r="A54" s="20">
        <v>8.25</v>
      </c>
      <c r="B54" s="21" t="s">
        <v>225</v>
      </c>
      <c r="C54" s="22" t="s">
        <v>226</v>
      </c>
      <c r="D54" s="23" t="s">
        <v>162</v>
      </c>
      <c r="E54" s="23" t="s">
        <v>13</v>
      </c>
      <c r="F54" s="23" t="s">
        <v>14</v>
      </c>
      <c r="G54" s="23">
        <v>60</v>
      </c>
      <c r="H54" s="24" t="s">
        <v>227</v>
      </c>
      <c r="I54" s="24" t="s">
        <v>228</v>
      </c>
      <c r="J54" s="24" t="s">
        <v>17</v>
      </c>
    </row>
    <row r="55" ht="26" spans="1:10">
      <c r="A55" s="20">
        <v>8.5</v>
      </c>
      <c r="B55" s="21" t="s">
        <v>229</v>
      </c>
      <c r="C55" s="22" t="s">
        <v>230</v>
      </c>
      <c r="D55" s="23" t="s">
        <v>162</v>
      </c>
      <c r="E55" s="23" t="s">
        <v>13</v>
      </c>
      <c r="F55" s="23" t="s">
        <v>64</v>
      </c>
      <c r="G55" s="23">
        <v>60</v>
      </c>
      <c r="H55" s="24" t="s">
        <v>231</v>
      </c>
      <c r="I55" s="24" t="s">
        <v>232</v>
      </c>
      <c r="J55" s="24" t="s">
        <v>17</v>
      </c>
    </row>
    <row r="56" ht="26" spans="1:10">
      <c r="A56" s="20">
        <v>6.5</v>
      </c>
      <c r="B56" s="21" t="s">
        <v>233</v>
      </c>
      <c r="C56" s="22" t="s">
        <v>234</v>
      </c>
      <c r="D56" s="23" t="s">
        <v>235</v>
      </c>
      <c r="E56" s="23" t="s">
        <v>13</v>
      </c>
      <c r="F56" s="23" t="s">
        <v>14</v>
      </c>
      <c r="G56" s="23">
        <v>60</v>
      </c>
      <c r="H56" s="24" t="s">
        <v>236</v>
      </c>
      <c r="I56" s="24" t="s">
        <v>237</v>
      </c>
      <c r="J56" s="24" t="s">
        <v>17</v>
      </c>
    </row>
    <row r="57" ht="26" spans="1:10">
      <c r="A57" s="20">
        <v>6.75</v>
      </c>
      <c r="B57" s="21" t="s">
        <v>238</v>
      </c>
      <c r="C57" s="22" t="s">
        <v>239</v>
      </c>
      <c r="D57" s="23" t="s">
        <v>235</v>
      </c>
      <c r="E57" s="23" t="s">
        <v>13</v>
      </c>
      <c r="F57" s="23" t="s">
        <v>14</v>
      </c>
      <c r="G57" s="23">
        <v>60</v>
      </c>
      <c r="H57" s="24" t="s">
        <v>240</v>
      </c>
      <c r="I57" s="24" t="s">
        <v>241</v>
      </c>
      <c r="J57" s="24" t="s">
        <v>17</v>
      </c>
    </row>
    <row r="58" ht="26" spans="1:10">
      <c r="A58" s="20">
        <v>7</v>
      </c>
      <c r="B58" s="21" t="s">
        <v>242</v>
      </c>
      <c r="C58" s="22" t="s">
        <v>243</v>
      </c>
      <c r="D58" s="23" t="s">
        <v>235</v>
      </c>
      <c r="E58" s="23" t="s">
        <v>13</v>
      </c>
      <c r="F58" s="23" t="s">
        <v>14</v>
      </c>
      <c r="G58" s="23">
        <v>60</v>
      </c>
      <c r="H58" s="24" t="s">
        <v>244</v>
      </c>
      <c r="I58" s="24" t="s">
        <v>245</v>
      </c>
      <c r="J58" s="24" t="s">
        <v>17</v>
      </c>
    </row>
    <row r="59" ht="26" spans="1:10">
      <c r="A59" s="20">
        <v>6.5</v>
      </c>
      <c r="B59" s="21" t="s">
        <v>246</v>
      </c>
      <c r="C59" s="22" t="s">
        <v>247</v>
      </c>
      <c r="D59" s="23" t="s">
        <v>235</v>
      </c>
      <c r="E59" s="23" t="s">
        <v>13</v>
      </c>
      <c r="F59" s="23" t="s">
        <v>14</v>
      </c>
      <c r="G59" s="23">
        <v>60</v>
      </c>
      <c r="H59" s="24" t="s">
        <v>248</v>
      </c>
      <c r="I59" s="24" t="s">
        <v>249</v>
      </c>
      <c r="J59" s="24" t="s">
        <v>17</v>
      </c>
    </row>
    <row r="60" ht="26" spans="1:10">
      <c r="A60" s="20">
        <v>6.75</v>
      </c>
      <c r="B60" s="21" t="s">
        <v>250</v>
      </c>
      <c r="C60" s="22" t="s">
        <v>251</v>
      </c>
      <c r="D60" s="23" t="s">
        <v>235</v>
      </c>
      <c r="E60" s="23" t="s">
        <v>13</v>
      </c>
      <c r="F60" s="23" t="s">
        <v>14</v>
      </c>
      <c r="G60" s="23">
        <v>60</v>
      </c>
      <c r="H60" s="24" t="s">
        <v>252</v>
      </c>
      <c r="I60" s="24" t="s">
        <v>253</v>
      </c>
      <c r="J60" s="24" t="s">
        <v>17</v>
      </c>
    </row>
    <row r="61" ht="26" spans="1:10">
      <c r="A61" s="20">
        <v>7</v>
      </c>
      <c r="B61" s="21" t="s">
        <v>254</v>
      </c>
      <c r="C61" s="22" t="s">
        <v>255</v>
      </c>
      <c r="D61" s="23" t="s">
        <v>235</v>
      </c>
      <c r="E61" s="23" t="s">
        <v>13</v>
      </c>
      <c r="F61" s="23" t="s">
        <v>64</v>
      </c>
      <c r="G61" s="23">
        <v>60</v>
      </c>
      <c r="H61" s="24" t="s">
        <v>256</v>
      </c>
      <c r="I61" s="24" t="s">
        <v>257</v>
      </c>
      <c r="J61" s="24" t="s">
        <v>17</v>
      </c>
    </row>
    <row r="62" ht="26" spans="1:10">
      <c r="A62" s="20">
        <v>6.5</v>
      </c>
      <c r="B62" s="21" t="s">
        <v>258</v>
      </c>
      <c r="C62" s="22" t="s">
        <v>259</v>
      </c>
      <c r="D62" s="23" t="s">
        <v>235</v>
      </c>
      <c r="E62" s="23" t="s">
        <v>13</v>
      </c>
      <c r="F62" s="23" t="s">
        <v>64</v>
      </c>
      <c r="G62" s="23">
        <v>60</v>
      </c>
      <c r="H62" s="24" t="s">
        <v>260</v>
      </c>
      <c r="I62" s="24" t="s">
        <v>261</v>
      </c>
      <c r="J62" s="24" t="s">
        <v>17</v>
      </c>
    </row>
    <row r="63" ht="26" spans="1:10">
      <c r="A63" s="20">
        <v>6.75</v>
      </c>
      <c r="B63" s="21" t="s">
        <v>262</v>
      </c>
      <c r="C63" s="22" t="s">
        <v>263</v>
      </c>
      <c r="D63" s="23" t="s">
        <v>235</v>
      </c>
      <c r="E63" s="23" t="s">
        <v>13</v>
      </c>
      <c r="F63" s="23" t="s">
        <v>14</v>
      </c>
      <c r="G63" s="23">
        <v>60</v>
      </c>
      <c r="H63" s="24" t="s">
        <v>264</v>
      </c>
      <c r="I63" s="24" t="s">
        <v>265</v>
      </c>
      <c r="J63" s="24" t="s">
        <v>17</v>
      </c>
    </row>
    <row r="64" ht="26" spans="1:10">
      <c r="A64" s="20">
        <v>7</v>
      </c>
      <c r="B64" s="21" t="s">
        <v>266</v>
      </c>
      <c r="C64" s="22" t="s">
        <v>267</v>
      </c>
      <c r="D64" s="23" t="s">
        <v>235</v>
      </c>
      <c r="E64" s="23" t="s">
        <v>13</v>
      </c>
      <c r="F64" s="23" t="s">
        <v>14</v>
      </c>
      <c r="G64" s="23">
        <v>60</v>
      </c>
      <c r="H64" s="24" t="s">
        <v>268</v>
      </c>
      <c r="I64" s="24" t="s">
        <v>269</v>
      </c>
      <c r="J64" s="24" t="s">
        <v>17</v>
      </c>
    </row>
    <row r="65" ht="26" spans="1:10">
      <c r="A65" s="20">
        <v>6.5</v>
      </c>
      <c r="B65" s="21" t="s">
        <v>270</v>
      </c>
      <c r="C65" s="22" t="s">
        <v>271</v>
      </c>
      <c r="D65" s="23" t="s">
        <v>235</v>
      </c>
      <c r="E65" s="23" t="s">
        <v>13</v>
      </c>
      <c r="F65" s="23" t="s">
        <v>14</v>
      </c>
      <c r="G65" s="23">
        <v>60</v>
      </c>
      <c r="H65" s="24" t="s">
        <v>272</v>
      </c>
      <c r="I65" s="24" t="s">
        <v>273</v>
      </c>
      <c r="J65" s="24" t="s">
        <v>17</v>
      </c>
    </row>
    <row r="66" ht="26" spans="1:10">
      <c r="A66" s="20">
        <v>6.75</v>
      </c>
      <c r="B66" s="21" t="s">
        <v>274</v>
      </c>
      <c r="C66" s="22" t="s">
        <v>275</v>
      </c>
      <c r="D66" s="23" t="s">
        <v>235</v>
      </c>
      <c r="E66" s="23" t="s">
        <v>13</v>
      </c>
      <c r="F66" s="23" t="s">
        <v>14</v>
      </c>
      <c r="G66" s="23">
        <v>60</v>
      </c>
      <c r="H66" s="24" t="s">
        <v>276</v>
      </c>
      <c r="I66" s="24" t="s">
        <v>277</v>
      </c>
      <c r="J66" s="24" t="s">
        <v>17</v>
      </c>
    </row>
    <row r="67" ht="26" spans="1:10">
      <c r="A67" s="20">
        <v>7</v>
      </c>
      <c r="B67" s="21" t="s">
        <v>278</v>
      </c>
      <c r="C67" s="22" t="s">
        <v>279</v>
      </c>
      <c r="D67" s="23" t="s">
        <v>235</v>
      </c>
      <c r="E67" s="23" t="s">
        <v>13</v>
      </c>
      <c r="F67" s="23" t="s">
        <v>14</v>
      </c>
      <c r="G67" s="23">
        <v>60</v>
      </c>
      <c r="H67" s="24" t="s">
        <v>280</v>
      </c>
      <c r="I67" s="24" t="s">
        <v>281</v>
      </c>
      <c r="J67" s="24" t="s">
        <v>17</v>
      </c>
    </row>
    <row r="68" ht="26" spans="1:10">
      <c r="A68" s="20">
        <v>6.5</v>
      </c>
      <c r="B68" s="21" t="s">
        <v>282</v>
      </c>
      <c r="C68" s="22" t="s">
        <v>283</v>
      </c>
      <c r="D68" s="23" t="s">
        <v>235</v>
      </c>
      <c r="E68" s="23" t="s">
        <v>13</v>
      </c>
      <c r="F68" s="23" t="s">
        <v>14</v>
      </c>
      <c r="G68" s="23">
        <v>60</v>
      </c>
      <c r="H68" s="24" t="s">
        <v>284</v>
      </c>
      <c r="I68" s="24" t="s">
        <v>285</v>
      </c>
      <c r="J68" s="24" t="s">
        <v>17</v>
      </c>
    </row>
    <row r="69" ht="26" spans="1:10">
      <c r="A69" s="20">
        <v>6.75</v>
      </c>
      <c r="B69" s="21" t="s">
        <v>286</v>
      </c>
      <c r="C69" s="22" t="s">
        <v>287</v>
      </c>
      <c r="D69" s="23" t="s">
        <v>235</v>
      </c>
      <c r="E69" s="23" t="s">
        <v>13</v>
      </c>
      <c r="F69" s="23" t="s">
        <v>14</v>
      </c>
      <c r="G69" s="23">
        <v>60</v>
      </c>
      <c r="H69" s="24" t="s">
        <v>288</v>
      </c>
      <c r="I69" s="24" t="s">
        <v>289</v>
      </c>
      <c r="J69" s="24" t="s">
        <v>17</v>
      </c>
    </row>
    <row r="70" ht="26" spans="1:10">
      <c r="A70" s="20">
        <v>7</v>
      </c>
      <c r="B70" s="21" t="s">
        <v>290</v>
      </c>
      <c r="C70" s="22" t="s">
        <v>291</v>
      </c>
      <c r="D70" s="23" t="s">
        <v>235</v>
      </c>
      <c r="E70" s="23" t="s">
        <v>13</v>
      </c>
      <c r="F70" s="23" t="s">
        <v>64</v>
      </c>
      <c r="G70" s="23">
        <v>60</v>
      </c>
      <c r="H70" s="24" t="s">
        <v>292</v>
      </c>
      <c r="I70" s="24" t="s">
        <v>293</v>
      </c>
      <c r="J70" s="24" t="s">
        <v>17</v>
      </c>
    </row>
    <row r="71" ht="26" spans="1:10">
      <c r="A71" s="20">
        <v>6.5</v>
      </c>
      <c r="B71" s="21" t="s">
        <v>294</v>
      </c>
      <c r="C71" s="22" t="s">
        <v>295</v>
      </c>
      <c r="D71" s="23" t="s">
        <v>235</v>
      </c>
      <c r="E71" s="23" t="s">
        <v>13</v>
      </c>
      <c r="F71" s="23" t="s">
        <v>14</v>
      </c>
      <c r="G71" s="23">
        <v>60</v>
      </c>
      <c r="H71" s="24" t="s">
        <v>296</v>
      </c>
      <c r="I71" s="24" t="s">
        <v>297</v>
      </c>
      <c r="J71" s="24" t="s">
        <v>17</v>
      </c>
    </row>
    <row r="72" ht="26" spans="1:10">
      <c r="A72" s="20">
        <v>6.75</v>
      </c>
      <c r="B72" s="21" t="s">
        <v>298</v>
      </c>
      <c r="C72" s="22" t="s">
        <v>299</v>
      </c>
      <c r="D72" s="23" t="s">
        <v>235</v>
      </c>
      <c r="E72" s="23" t="s">
        <v>13</v>
      </c>
      <c r="F72" s="23" t="s">
        <v>14</v>
      </c>
      <c r="G72" s="23">
        <v>60</v>
      </c>
      <c r="H72" s="24" t="s">
        <v>300</v>
      </c>
      <c r="I72" s="24" t="s">
        <v>301</v>
      </c>
      <c r="J72" s="24" t="s">
        <v>17</v>
      </c>
    </row>
    <row r="73" ht="26" spans="1:10">
      <c r="A73" s="20">
        <v>7</v>
      </c>
      <c r="B73" s="21" t="s">
        <v>302</v>
      </c>
      <c r="C73" s="22" t="s">
        <v>303</v>
      </c>
      <c r="D73" s="23" t="s">
        <v>235</v>
      </c>
      <c r="E73" s="23" t="s">
        <v>13</v>
      </c>
      <c r="F73" s="23" t="s">
        <v>64</v>
      </c>
      <c r="G73" s="23">
        <v>60</v>
      </c>
      <c r="H73" s="24" t="s">
        <v>304</v>
      </c>
      <c r="I73" s="24" t="s">
        <v>305</v>
      </c>
      <c r="J73" s="24" t="s">
        <v>17</v>
      </c>
    </row>
    <row r="74" ht="26" spans="1:10">
      <c r="A74" s="20">
        <v>9</v>
      </c>
      <c r="B74" s="21" t="s">
        <v>306</v>
      </c>
      <c r="C74" s="22" t="s">
        <v>307</v>
      </c>
      <c r="D74" s="23" t="s">
        <v>308</v>
      </c>
      <c r="E74" s="23" t="s">
        <v>13</v>
      </c>
      <c r="F74" s="23" t="s">
        <v>14</v>
      </c>
      <c r="G74" s="23">
        <v>60</v>
      </c>
      <c r="H74" s="24" t="s">
        <v>309</v>
      </c>
      <c r="I74" s="24" t="s">
        <v>310</v>
      </c>
      <c r="J74" s="24" t="s">
        <v>17</v>
      </c>
    </row>
    <row r="75" ht="26" spans="1:10">
      <c r="A75" s="20">
        <v>9.25</v>
      </c>
      <c r="B75" s="21" t="s">
        <v>311</v>
      </c>
      <c r="C75" s="22" t="s">
        <v>312</v>
      </c>
      <c r="D75" s="23" t="s">
        <v>308</v>
      </c>
      <c r="E75" s="23" t="s">
        <v>13</v>
      </c>
      <c r="F75" s="23" t="s">
        <v>14</v>
      </c>
      <c r="G75" s="23">
        <v>60</v>
      </c>
      <c r="H75" s="24" t="s">
        <v>313</v>
      </c>
      <c r="I75" s="24" t="s">
        <v>314</v>
      </c>
      <c r="J75" s="24" t="s">
        <v>17</v>
      </c>
    </row>
    <row r="76" ht="26" spans="1:10">
      <c r="A76" s="20">
        <v>9.5</v>
      </c>
      <c r="B76" s="21" t="s">
        <v>315</v>
      </c>
      <c r="C76" s="22" t="s">
        <v>316</v>
      </c>
      <c r="D76" s="23" t="s">
        <v>308</v>
      </c>
      <c r="E76" s="23" t="s">
        <v>13</v>
      </c>
      <c r="F76" s="23" t="s">
        <v>14</v>
      </c>
      <c r="G76" s="23">
        <v>60</v>
      </c>
      <c r="H76" s="24" t="s">
        <v>317</v>
      </c>
      <c r="I76" s="24" t="s">
        <v>318</v>
      </c>
      <c r="J76" s="24" t="s">
        <v>17</v>
      </c>
    </row>
    <row r="77" ht="26" spans="1:10">
      <c r="A77" s="20">
        <v>9</v>
      </c>
      <c r="B77" s="21" t="s">
        <v>319</v>
      </c>
      <c r="C77" s="22" t="s">
        <v>320</v>
      </c>
      <c r="D77" s="23" t="s">
        <v>308</v>
      </c>
      <c r="E77" s="23" t="s">
        <v>13</v>
      </c>
      <c r="F77" s="23" t="s">
        <v>14</v>
      </c>
      <c r="G77" s="23">
        <v>60</v>
      </c>
      <c r="H77" s="24" t="s">
        <v>321</v>
      </c>
      <c r="I77" s="24" t="s">
        <v>322</v>
      </c>
      <c r="J77" s="24" t="s">
        <v>17</v>
      </c>
    </row>
    <row r="78" ht="26" spans="1:10">
      <c r="A78" s="20">
        <v>9.25</v>
      </c>
      <c r="B78" s="21" t="s">
        <v>323</v>
      </c>
      <c r="C78" s="22" t="s">
        <v>324</v>
      </c>
      <c r="D78" s="23" t="s">
        <v>308</v>
      </c>
      <c r="E78" s="23" t="s">
        <v>13</v>
      </c>
      <c r="F78" s="23" t="s">
        <v>14</v>
      </c>
      <c r="G78" s="23">
        <v>60</v>
      </c>
      <c r="H78" s="24" t="s">
        <v>325</v>
      </c>
      <c r="I78" s="24" t="s">
        <v>326</v>
      </c>
      <c r="J78" s="24" t="s">
        <v>17</v>
      </c>
    </row>
    <row r="79" ht="26" spans="1:10">
      <c r="A79" s="20">
        <v>9.5</v>
      </c>
      <c r="B79" s="21" t="s">
        <v>327</v>
      </c>
      <c r="C79" s="22" t="s">
        <v>328</v>
      </c>
      <c r="D79" s="23" t="s">
        <v>308</v>
      </c>
      <c r="E79" s="23" t="s">
        <v>13</v>
      </c>
      <c r="F79" s="23" t="s">
        <v>14</v>
      </c>
      <c r="G79" s="23">
        <v>60</v>
      </c>
      <c r="H79" s="24" t="s">
        <v>329</v>
      </c>
      <c r="I79" s="24" t="s">
        <v>330</v>
      </c>
      <c r="J79" s="24" t="s">
        <v>17</v>
      </c>
    </row>
    <row r="80" ht="26" spans="1:10">
      <c r="A80" s="20">
        <v>9</v>
      </c>
      <c r="B80" s="21" t="s">
        <v>331</v>
      </c>
      <c r="C80" s="22" t="s">
        <v>332</v>
      </c>
      <c r="D80" s="23" t="s">
        <v>308</v>
      </c>
      <c r="E80" s="23" t="s">
        <v>13</v>
      </c>
      <c r="F80" s="23" t="s">
        <v>14</v>
      </c>
      <c r="G80" s="23">
        <v>60</v>
      </c>
      <c r="H80" s="24" t="s">
        <v>333</v>
      </c>
      <c r="I80" s="24" t="s">
        <v>334</v>
      </c>
      <c r="J80" s="24" t="s">
        <v>17</v>
      </c>
    </row>
    <row r="81" ht="26" spans="1:10">
      <c r="A81" s="20">
        <v>9.25</v>
      </c>
      <c r="B81" s="21" t="s">
        <v>335</v>
      </c>
      <c r="C81" s="22" t="s">
        <v>336</v>
      </c>
      <c r="D81" s="23" t="s">
        <v>308</v>
      </c>
      <c r="E81" s="23" t="s">
        <v>13</v>
      </c>
      <c r="F81" s="23" t="s">
        <v>14</v>
      </c>
      <c r="G81" s="23">
        <v>60</v>
      </c>
      <c r="H81" s="24" t="s">
        <v>337</v>
      </c>
      <c r="I81" s="24" t="s">
        <v>338</v>
      </c>
      <c r="J81" s="24" t="s">
        <v>17</v>
      </c>
    </row>
    <row r="82" ht="26" spans="1:10">
      <c r="A82" s="20">
        <v>9.5</v>
      </c>
      <c r="B82" s="21" t="s">
        <v>339</v>
      </c>
      <c r="C82" s="22" t="s">
        <v>340</v>
      </c>
      <c r="D82" s="23" t="s">
        <v>308</v>
      </c>
      <c r="E82" s="23" t="s">
        <v>13</v>
      </c>
      <c r="F82" s="23" t="s">
        <v>14</v>
      </c>
      <c r="G82" s="23">
        <v>60</v>
      </c>
      <c r="H82" s="24" t="s">
        <v>341</v>
      </c>
      <c r="I82" s="24" t="s">
        <v>342</v>
      </c>
      <c r="J82" s="24" t="s">
        <v>17</v>
      </c>
    </row>
    <row r="83" ht="26" spans="1:10">
      <c r="A83" s="20">
        <v>9</v>
      </c>
      <c r="B83" s="21" t="s">
        <v>343</v>
      </c>
      <c r="C83" s="22" t="s">
        <v>344</v>
      </c>
      <c r="D83" s="23" t="s">
        <v>308</v>
      </c>
      <c r="E83" s="23" t="s">
        <v>13</v>
      </c>
      <c r="F83" s="23" t="s">
        <v>14</v>
      </c>
      <c r="G83" s="23">
        <v>60</v>
      </c>
      <c r="H83" s="24" t="s">
        <v>345</v>
      </c>
      <c r="I83" s="24" t="s">
        <v>346</v>
      </c>
      <c r="J83" s="24" t="s">
        <v>17</v>
      </c>
    </row>
    <row r="84" ht="26" spans="1:10">
      <c r="A84" s="20">
        <v>9.25</v>
      </c>
      <c r="B84" s="21" t="s">
        <v>347</v>
      </c>
      <c r="C84" s="22" t="s">
        <v>348</v>
      </c>
      <c r="D84" s="23" t="s">
        <v>308</v>
      </c>
      <c r="E84" s="23" t="s">
        <v>13</v>
      </c>
      <c r="F84" s="23" t="s">
        <v>14</v>
      </c>
      <c r="G84" s="23">
        <v>60</v>
      </c>
      <c r="H84" s="24" t="s">
        <v>349</v>
      </c>
      <c r="I84" s="24" t="s">
        <v>350</v>
      </c>
      <c r="J84" s="24" t="s">
        <v>17</v>
      </c>
    </row>
    <row r="85" ht="26" spans="1:10">
      <c r="A85" s="20">
        <v>9.5</v>
      </c>
      <c r="B85" s="21" t="s">
        <v>351</v>
      </c>
      <c r="C85" s="22" t="s">
        <v>352</v>
      </c>
      <c r="D85" s="23" t="s">
        <v>308</v>
      </c>
      <c r="E85" s="23" t="s">
        <v>13</v>
      </c>
      <c r="F85" s="23" t="s">
        <v>14</v>
      </c>
      <c r="G85" s="23">
        <v>60</v>
      </c>
      <c r="H85" s="24" t="s">
        <v>353</v>
      </c>
      <c r="I85" s="24" t="s">
        <v>354</v>
      </c>
      <c r="J85" s="24" t="s">
        <v>17</v>
      </c>
    </row>
    <row r="86" ht="26" spans="1:10">
      <c r="A86" s="20">
        <v>9</v>
      </c>
      <c r="B86" s="21" t="s">
        <v>355</v>
      </c>
      <c r="C86" s="22" t="s">
        <v>356</v>
      </c>
      <c r="D86" s="23" t="s">
        <v>308</v>
      </c>
      <c r="E86" s="23" t="s">
        <v>13</v>
      </c>
      <c r="F86" s="23" t="s">
        <v>14</v>
      </c>
      <c r="G86" s="23">
        <v>60</v>
      </c>
      <c r="H86" s="24" t="s">
        <v>357</v>
      </c>
      <c r="I86" s="24" t="s">
        <v>358</v>
      </c>
      <c r="J86" s="24" t="s">
        <v>17</v>
      </c>
    </row>
    <row r="87" ht="26" spans="1:10">
      <c r="A87" s="20">
        <v>9.25</v>
      </c>
      <c r="B87" s="21" t="s">
        <v>359</v>
      </c>
      <c r="C87" s="22" t="s">
        <v>360</v>
      </c>
      <c r="D87" s="23" t="s">
        <v>308</v>
      </c>
      <c r="E87" s="23" t="s">
        <v>13</v>
      </c>
      <c r="F87" s="23" t="s">
        <v>14</v>
      </c>
      <c r="G87" s="23">
        <v>60</v>
      </c>
      <c r="H87" s="24" t="s">
        <v>361</v>
      </c>
      <c r="I87" s="24" t="s">
        <v>362</v>
      </c>
      <c r="J87" s="24" t="s">
        <v>17</v>
      </c>
    </row>
    <row r="88" ht="26" spans="1:10">
      <c r="A88" s="20">
        <v>9.5</v>
      </c>
      <c r="B88" s="21" t="s">
        <v>363</v>
      </c>
      <c r="C88" s="22" t="s">
        <v>364</v>
      </c>
      <c r="D88" s="23" t="s">
        <v>308</v>
      </c>
      <c r="E88" s="23" t="s">
        <v>13</v>
      </c>
      <c r="F88" s="23" t="s">
        <v>64</v>
      </c>
      <c r="G88" s="23">
        <v>60</v>
      </c>
      <c r="H88" s="24" t="s">
        <v>365</v>
      </c>
      <c r="I88" s="24" t="s">
        <v>366</v>
      </c>
      <c r="J88" s="24" t="s">
        <v>17</v>
      </c>
    </row>
    <row r="89" ht="26" spans="1:10">
      <c r="A89" s="20">
        <v>9</v>
      </c>
      <c r="B89" s="21" t="s">
        <v>367</v>
      </c>
      <c r="C89" s="22" t="s">
        <v>368</v>
      </c>
      <c r="D89" s="23" t="s">
        <v>308</v>
      </c>
      <c r="E89" s="23" t="s">
        <v>13</v>
      </c>
      <c r="F89" s="23" t="s">
        <v>64</v>
      </c>
      <c r="G89" s="23">
        <v>60</v>
      </c>
      <c r="H89" s="24" t="s">
        <v>369</v>
      </c>
      <c r="I89" s="24" t="s">
        <v>370</v>
      </c>
      <c r="J89" s="24" t="s">
        <v>17</v>
      </c>
    </row>
    <row r="90" ht="26" spans="1:10">
      <c r="A90" s="20">
        <v>9.25</v>
      </c>
      <c r="B90" s="21" t="s">
        <v>371</v>
      </c>
      <c r="C90" s="22" t="s">
        <v>372</v>
      </c>
      <c r="D90" s="23" t="s">
        <v>308</v>
      </c>
      <c r="E90" s="23" t="s">
        <v>13</v>
      </c>
      <c r="F90" s="23" t="s">
        <v>64</v>
      </c>
      <c r="G90" s="23">
        <v>60</v>
      </c>
      <c r="H90" s="24" t="s">
        <v>373</v>
      </c>
      <c r="I90" s="24" t="s">
        <v>374</v>
      </c>
      <c r="J90" s="24" t="s">
        <v>17</v>
      </c>
    </row>
    <row r="91" ht="26" spans="1:10">
      <c r="A91" s="20">
        <v>9.5</v>
      </c>
      <c r="B91" s="21" t="s">
        <v>375</v>
      </c>
      <c r="C91" s="22" t="s">
        <v>376</v>
      </c>
      <c r="D91" s="23" t="s">
        <v>308</v>
      </c>
      <c r="E91" s="23" t="s">
        <v>13</v>
      </c>
      <c r="F91" s="23" t="s">
        <v>64</v>
      </c>
      <c r="G91" s="23">
        <v>60</v>
      </c>
      <c r="H91" s="24" t="s">
        <v>377</v>
      </c>
      <c r="I91" s="24" t="s">
        <v>378</v>
      </c>
      <c r="J91" s="24" t="s">
        <v>17</v>
      </c>
    </row>
    <row r="92" ht="26" spans="1:10">
      <c r="A92" s="20">
        <v>8</v>
      </c>
      <c r="B92" s="21" t="s">
        <v>379</v>
      </c>
      <c r="C92" s="22" t="s">
        <v>380</v>
      </c>
      <c r="D92" s="23" t="s">
        <v>381</v>
      </c>
      <c r="E92" s="23" t="s">
        <v>13</v>
      </c>
      <c r="F92" s="23" t="s">
        <v>14</v>
      </c>
      <c r="G92" s="23">
        <v>60</v>
      </c>
      <c r="H92" s="24" t="s">
        <v>382</v>
      </c>
      <c r="I92" s="24" t="s">
        <v>383</v>
      </c>
      <c r="J92" s="24" t="s">
        <v>17</v>
      </c>
    </row>
    <row r="93" ht="26" spans="1:10">
      <c r="A93" s="20">
        <v>8.25</v>
      </c>
      <c r="B93" s="21" t="s">
        <v>384</v>
      </c>
      <c r="C93" s="22" t="s">
        <v>385</v>
      </c>
      <c r="D93" s="23" t="s">
        <v>381</v>
      </c>
      <c r="E93" s="23" t="s">
        <v>13</v>
      </c>
      <c r="F93" s="23" t="s">
        <v>14</v>
      </c>
      <c r="G93" s="23">
        <v>60</v>
      </c>
      <c r="H93" s="24" t="s">
        <v>386</v>
      </c>
      <c r="I93" s="24" t="s">
        <v>387</v>
      </c>
      <c r="J93" s="24" t="s">
        <v>17</v>
      </c>
    </row>
    <row r="94" ht="26" spans="1:10">
      <c r="A94" s="20">
        <v>8.5</v>
      </c>
      <c r="B94" s="21" t="s">
        <v>388</v>
      </c>
      <c r="C94" s="22" t="s">
        <v>389</v>
      </c>
      <c r="D94" s="23" t="s">
        <v>381</v>
      </c>
      <c r="E94" s="23" t="s">
        <v>13</v>
      </c>
      <c r="F94" s="23" t="s">
        <v>14</v>
      </c>
      <c r="G94" s="23">
        <v>60</v>
      </c>
      <c r="H94" s="24" t="s">
        <v>390</v>
      </c>
      <c r="I94" s="24" t="s">
        <v>391</v>
      </c>
      <c r="J94" s="24" t="s">
        <v>17</v>
      </c>
    </row>
    <row r="95" ht="26" spans="1:10">
      <c r="A95" s="20">
        <v>8</v>
      </c>
      <c r="B95" s="21" t="s">
        <v>392</v>
      </c>
      <c r="C95" s="22" t="s">
        <v>393</v>
      </c>
      <c r="D95" s="23" t="s">
        <v>381</v>
      </c>
      <c r="E95" s="23" t="s">
        <v>13</v>
      </c>
      <c r="F95" s="23" t="s">
        <v>14</v>
      </c>
      <c r="G95" s="23">
        <v>60</v>
      </c>
      <c r="H95" s="24" t="s">
        <v>394</v>
      </c>
      <c r="I95" s="24" t="s">
        <v>395</v>
      </c>
      <c r="J95" s="24" t="s">
        <v>17</v>
      </c>
    </row>
    <row r="96" ht="26" spans="1:10">
      <c r="A96" s="20">
        <v>8.25</v>
      </c>
      <c r="B96" s="21" t="s">
        <v>396</v>
      </c>
      <c r="C96" s="22" t="s">
        <v>397</v>
      </c>
      <c r="D96" s="23" t="s">
        <v>381</v>
      </c>
      <c r="E96" s="23" t="s">
        <v>13</v>
      </c>
      <c r="F96" s="23" t="s">
        <v>14</v>
      </c>
      <c r="G96" s="23">
        <v>60</v>
      </c>
      <c r="H96" s="24" t="s">
        <v>398</v>
      </c>
      <c r="I96" s="24" t="s">
        <v>399</v>
      </c>
      <c r="J96" s="24" t="s">
        <v>17</v>
      </c>
    </row>
    <row r="97" ht="26" spans="1:10">
      <c r="A97" s="20">
        <v>8.5</v>
      </c>
      <c r="B97" s="21" t="s">
        <v>400</v>
      </c>
      <c r="C97" s="22" t="s">
        <v>401</v>
      </c>
      <c r="D97" s="23" t="s">
        <v>381</v>
      </c>
      <c r="E97" s="23" t="s">
        <v>13</v>
      </c>
      <c r="F97" s="23" t="s">
        <v>14</v>
      </c>
      <c r="G97" s="23">
        <v>60</v>
      </c>
      <c r="H97" s="24" t="s">
        <v>402</v>
      </c>
      <c r="I97" s="24" t="s">
        <v>403</v>
      </c>
      <c r="J97" s="24" t="s">
        <v>17</v>
      </c>
    </row>
    <row r="98" ht="26" spans="1:10">
      <c r="A98" s="20">
        <v>8</v>
      </c>
      <c r="B98" s="21" t="s">
        <v>404</v>
      </c>
      <c r="C98" s="22" t="s">
        <v>405</v>
      </c>
      <c r="D98" s="23" t="s">
        <v>381</v>
      </c>
      <c r="E98" s="23" t="s">
        <v>13</v>
      </c>
      <c r="F98" s="23" t="s">
        <v>14</v>
      </c>
      <c r="G98" s="23">
        <v>60</v>
      </c>
      <c r="H98" s="24" t="s">
        <v>406</v>
      </c>
      <c r="I98" s="24" t="s">
        <v>407</v>
      </c>
      <c r="J98" s="24" t="s">
        <v>17</v>
      </c>
    </row>
    <row r="99" ht="26" spans="1:10">
      <c r="A99" s="20">
        <v>8.25</v>
      </c>
      <c r="B99" s="21" t="s">
        <v>408</v>
      </c>
      <c r="C99" s="22" t="s">
        <v>409</v>
      </c>
      <c r="D99" s="23" t="s">
        <v>381</v>
      </c>
      <c r="E99" s="23" t="s">
        <v>13</v>
      </c>
      <c r="F99" s="23" t="s">
        <v>14</v>
      </c>
      <c r="G99" s="23">
        <v>60</v>
      </c>
      <c r="H99" s="24" t="s">
        <v>410</v>
      </c>
      <c r="I99" s="24" t="s">
        <v>411</v>
      </c>
      <c r="J99" s="24" t="s">
        <v>17</v>
      </c>
    </row>
    <row r="100" ht="26" spans="1:10">
      <c r="A100" s="20">
        <v>8.5</v>
      </c>
      <c r="B100" s="21" t="s">
        <v>412</v>
      </c>
      <c r="C100" s="22" t="s">
        <v>413</v>
      </c>
      <c r="D100" s="23" t="s">
        <v>381</v>
      </c>
      <c r="E100" s="23" t="s">
        <v>13</v>
      </c>
      <c r="F100" s="23" t="s">
        <v>14</v>
      </c>
      <c r="G100" s="23">
        <v>60</v>
      </c>
      <c r="H100" s="24" t="s">
        <v>414</v>
      </c>
      <c r="I100" s="24" t="s">
        <v>415</v>
      </c>
      <c r="J100" s="24" t="s">
        <v>17</v>
      </c>
    </row>
    <row r="101" ht="26" spans="1:10">
      <c r="A101" s="20">
        <v>8</v>
      </c>
      <c r="B101" s="21" t="s">
        <v>416</v>
      </c>
      <c r="C101" s="22" t="s">
        <v>417</v>
      </c>
      <c r="D101" s="23" t="s">
        <v>381</v>
      </c>
      <c r="E101" s="23" t="s">
        <v>13</v>
      </c>
      <c r="F101" s="23" t="s">
        <v>14</v>
      </c>
      <c r="G101" s="23">
        <v>60</v>
      </c>
      <c r="H101" s="24" t="s">
        <v>418</v>
      </c>
      <c r="I101" s="24" t="s">
        <v>419</v>
      </c>
      <c r="J101" s="24" t="s">
        <v>17</v>
      </c>
    </row>
    <row r="102" ht="26" spans="1:10">
      <c r="A102" s="20">
        <v>8.25</v>
      </c>
      <c r="B102" s="21" t="s">
        <v>420</v>
      </c>
      <c r="C102" s="22" t="s">
        <v>421</v>
      </c>
      <c r="D102" s="23" t="s">
        <v>381</v>
      </c>
      <c r="E102" s="23" t="s">
        <v>13</v>
      </c>
      <c r="F102" s="23" t="s">
        <v>64</v>
      </c>
      <c r="G102" s="23">
        <v>60</v>
      </c>
      <c r="H102" s="24" t="s">
        <v>422</v>
      </c>
      <c r="I102" s="24" t="s">
        <v>423</v>
      </c>
      <c r="J102" s="24" t="s">
        <v>17</v>
      </c>
    </row>
    <row r="103" ht="26" spans="1:10">
      <c r="A103" s="20">
        <v>8.5</v>
      </c>
      <c r="B103" s="21" t="s">
        <v>424</v>
      </c>
      <c r="C103" s="22" t="s">
        <v>425</v>
      </c>
      <c r="D103" s="23" t="s">
        <v>381</v>
      </c>
      <c r="E103" s="23" t="s">
        <v>13</v>
      </c>
      <c r="F103" s="23" t="s">
        <v>64</v>
      </c>
      <c r="G103" s="23">
        <v>60</v>
      </c>
      <c r="H103" s="24" t="s">
        <v>426</v>
      </c>
      <c r="I103" s="24" t="s">
        <v>427</v>
      </c>
      <c r="J103" s="24" t="s">
        <v>17</v>
      </c>
    </row>
    <row r="104" ht="26" spans="1:10">
      <c r="A104" s="20">
        <v>8</v>
      </c>
      <c r="B104" s="21" t="s">
        <v>428</v>
      </c>
      <c r="C104" s="22" t="s">
        <v>429</v>
      </c>
      <c r="D104" s="23" t="s">
        <v>381</v>
      </c>
      <c r="E104" s="23" t="s">
        <v>13</v>
      </c>
      <c r="F104" s="23" t="s">
        <v>64</v>
      </c>
      <c r="G104" s="23">
        <v>60</v>
      </c>
      <c r="H104" s="24" t="s">
        <v>430</v>
      </c>
      <c r="I104" s="24" t="s">
        <v>431</v>
      </c>
      <c r="J104" s="24" t="s">
        <v>17</v>
      </c>
    </row>
    <row r="105" ht="26" spans="1:10">
      <c r="A105" s="20">
        <v>8.25</v>
      </c>
      <c r="B105" s="21" t="s">
        <v>432</v>
      </c>
      <c r="C105" s="22" t="s">
        <v>433</v>
      </c>
      <c r="D105" s="23" t="s">
        <v>381</v>
      </c>
      <c r="E105" s="23" t="s">
        <v>13</v>
      </c>
      <c r="F105" s="23" t="s">
        <v>64</v>
      </c>
      <c r="G105" s="23">
        <v>60</v>
      </c>
      <c r="H105" s="24" t="s">
        <v>434</v>
      </c>
      <c r="I105" s="24" t="s">
        <v>435</v>
      </c>
      <c r="J105" s="24" t="s">
        <v>17</v>
      </c>
    </row>
    <row r="106" ht="26" spans="1:10">
      <c r="A106" s="20">
        <v>8.5</v>
      </c>
      <c r="B106" s="21" t="s">
        <v>436</v>
      </c>
      <c r="C106" s="22" t="s">
        <v>437</v>
      </c>
      <c r="D106" s="23" t="s">
        <v>381</v>
      </c>
      <c r="E106" s="23" t="s">
        <v>13</v>
      </c>
      <c r="F106" s="23" t="s">
        <v>64</v>
      </c>
      <c r="G106" s="23">
        <v>60</v>
      </c>
      <c r="H106" s="24" t="s">
        <v>438</v>
      </c>
      <c r="I106" s="24" t="s">
        <v>439</v>
      </c>
      <c r="J106" s="24" t="s">
        <v>17</v>
      </c>
    </row>
    <row r="107" ht="26" spans="1:10">
      <c r="A107" s="20">
        <v>8</v>
      </c>
      <c r="B107" s="21" t="s">
        <v>440</v>
      </c>
      <c r="C107" s="22" t="s">
        <v>441</v>
      </c>
      <c r="D107" s="23" t="s">
        <v>381</v>
      </c>
      <c r="E107" s="23" t="s">
        <v>13</v>
      </c>
      <c r="F107" s="23" t="s">
        <v>14</v>
      </c>
      <c r="G107" s="23">
        <v>60</v>
      </c>
      <c r="H107" s="24" t="s">
        <v>442</v>
      </c>
      <c r="I107" s="24" t="s">
        <v>443</v>
      </c>
      <c r="J107" s="24" t="s">
        <v>17</v>
      </c>
    </row>
    <row r="108" ht="26" spans="1:10">
      <c r="A108" s="20">
        <v>8.25</v>
      </c>
      <c r="B108" s="21" t="s">
        <v>444</v>
      </c>
      <c r="C108" s="22" t="s">
        <v>445</v>
      </c>
      <c r="D108" s="23" t="s">
        <v>381</v>
      </c>
      <c r="E108" s="23" t="s">
        <v>13</v>
      </c>
      <c r="F108" s="23" t="s">
        <v>14</v>
      </c>
      <c r="G108" s="23">
        <v>60</v>
      </c>
      <c r="H108" s="24" t="s">
        <v>446</v>
      </c>
      <c r="I108" s="24" t="s">
        <v>447</v>
      </c>
      <c r="J108" s="24" t="s">
        <v>17</v>
      </c>
    </row>
    <row r="109" ht="26" spans="1:10">
      <c r="A109" s="20">
        <v>8.5</v>
      </c>
      <c r="B109" s="21" t="s">
        <v>448</v>
      </c>
      <c r="C109" s="22" t="s">
        <v>449</v>
      </c>
      <c r="D109" s="23" t="s">
        <v>381</v>
      </c>
      <c r="E109" s="23" t="s">
        <v>13</v>
      </c>
      <c r="F109" s="23" t="s">
        <v>14</v>
      </c>
      <c r="G109" s="23">
        <v>60</v>
      </c>
      <c r="H109" s="24" t="s">
        <v>450</v>
      </c>
      <c r="I109" s="24" t="s">
        <v>451</v>
      </c>
      <c r="J109" s="24" t="s">
        <v>17</v>
      </c>
    </row>
    <row r="110" ht="26" spans="1:10">
      <c r="A110" s="20">
        <v>8.5</v>
      </c>
      <c r="B110" s="21" t="s">
        <v>452</v>
      </c>
      <c r="C110" s="22" t="s">
        <v>453</v>
      </c>
      <c r="D110" s="23" t="s">
        <v>454</v>
      </c>
      <c r="E110" s="23" t="s">
        <v>13</v>
      </c>
      <c r="F110" s="23" t="s">
        <v>14</v>
      </c>
      <c r="G110" s="23">
        <v>60</v>
      </c>
      <c r="H110" s="24" t="s">
        <v>455</v>
      </c>
      <c r="I110" s="24" t="s">
        <v>456</v>
      </c>
      <c r="J110" s="24" t="s">
        <v>17</v>
      </c>
    </row>
    <row r="111" ht="26" spans="1:10">
      <c r="A111" s="20">
        <v>8.75</v>
      </c>
      <c r="B111" s="21" t="s">
        <v>457</v>
      </c>
      <c r="C111" s="22" t="s">
        <v>458</v>
      </c>
      <c r="D111" s="23" t="s">
        <v>454</v>
      </c>
      <c r="E111" s="23" t="s">
        <v>13</v>
      </c>
      <c r="F111" s="23" t="s">
        <v>14</v>
      </c>
      <c r="G111" s="23">
        <v>60</v>
      </c>
      <c r="H111" s="24" t="s">
        <v>459</v>
      </c>
      <c r="I111" s="24" t="s">
        <v>460</v>
      </c>
      <c r="J111" s="24" t="s">
        <v>17</v>
      </c>
    </row>
    <row r="112" ht="26" spans="1:10">
      <c r="A112" s="20">
        <v>9</v>
      </c>
      <c r="B112" s="21" t="s">
        <v>461</v>
      </c>
      <c r="C112" s="22" t="s">
        <v>462</v>
      </c>
      <c r="D112" s="23" t="s">
        <v>454</v>
      </c>
      <c r="E112" s="23" t="s">
        <v>13</v>
      </c>
      <c r="F112" s="23" t="s">
        <v>14</v>
      </c>
      <c r="G112" s="23">
        <v>60</v>
      </c>
      <c r="H112" s="24" t="s">
        <v>463</v>
      </c>
      <c r="I112" s="24" t="s">
        <v>464</v>
      </c>
      <c r="J112" s="24" t="s">
        <v>17</v>
      </c>
    </row>
    <row r="113" ht="26" spans="1:10">
      <c r="A113" s="20">
        <v>8.5</v>
      </c>
      <c r="B113" s="21" t="s">
        <v>465</v>
      </c>
      <c r="C113" s="22" t="s">
        <v>466</v>
      </c>
      <c r="D113" s="23" t="s">
        <v>454</v>
      </c>
      <c r="E113" s="23" t="s">
        <v>13</v>
      </c>
      <c r="F113" s="23" t="s">
        <v>14</v>
      </c>
      <c r="G113" s="23">
        <v>60</v>
      </c>
      <c r="H113" s="24" t="s">
        <v>467</v>
      </c>
      <c r="I113" s="24" t="s">
        <v>468</v>
      </c>
      <c r="J113" s="24" t="s">
        <v>17</v>
      </c>
    </row>
    <row r="114" ht="26" spans="1:10">
      <c r="A114" s="20">
        <v>8.75</v>
      </c>
      <c r="B114" s="21" t="s">
        <v>469</v>
      </c>
      <c r="C114" s="22" t="s">
        <v>470</v>
      </c>
      <c r="D114" s="23" t="s">
        <v>454</v>
      </c>
      <c r="E114" s="23" t="s">
        <v>13</v>
      </c>
      <c r="F114" s="23" t="s">
        <v>14</v>
      </c>
      <c r="G114" s="23">
        <v>60</v>
      </c>
      <c r="H114" s="24" t="s">
        <v>471</v>
      </c>
      <c r="I114" s="24" t="s">
        <v>472</v>
      </c>
      <c r="J114" s="24" t="s">
        <v>17</v>
      </c>
    </row>
    <row r="115" ht="26" spans="1:10">
      <c r="A115" s="20">
        <v>9</v>
      </c>
      <c r="B115" s="21" t="s">
        <v>473</v>
      </c>
      <c r="C115" s="22" t="s">
        <v>474</v>
      </c>
      <c r="D115" s="23" t="s">
        <v>454</v>
      </c>
      <c r="E115" s="23" t="s">
        <v>13</v>
      </c>
      <c r="F115" s="23" t="s">
        <v>14</v>
      </c>
      <c r="G115" s="23">
        <v>60</v>
      </c>
      <c r="H115" s="24" t="s">
        <v>475</v>
      </c>
      <c r="I115" s="24" t="s">
        <v>476</v>
      </c>
      <c r="J115" s="24" t="s">
        <v>17</v>
      </c>
    </row>
    <row r="116" ht="26" spans="1:10">
      <c r="A116" s="20">
        <v>8.5</v>
      </c>
      <c r="B116" s="21" t="s">
        <v>477</v>
      </c>
      <c r="C116" s="22" t="s">
        <v>478</v>
      </c>
      <c r="D116" s="23" t="s">
        <v>454</v>
      </c>
      <c r="E116" s="23" t="s">
        <v>13</v>
      </c>
      <c r="F116" s="23" t="s">
        <v>14</v>
      </c>
      <c r="G116" s="23">
        <v>60</v>
      </c>
      <c r="H116" s="24" t="s">
        <v>479</v>
      </c>
      <c r="I116" s="24" t="s">
        <v>480</v>
      </c>
      <c r="J116" s="24" t="s">
        <v>17</v>
      </c>
    </row>
    <row r="117" ht="26" spans="1:10">
      <c r="A117" s="20">
        <v>8.75</v>
      </c>
      <c r="B117" s="21" t="s">
        <v>481</v>
      </c>
      <c r="C117" s="22" t="s">
        <v>482</v>
      </c>
      <c r="D117" s="23" t="s">
        <v>454</v>
      </c>
      <c r="E117" s="23" t="s">
        <v>13</v>
      </c>
      <c r="F117" s="23" t="s">
        <v>14</v>
      </c>
      <c r="G117" s="23">
        <v>60</v>
      </c>
      <c r="H117" s="24" t="s">
        <v>483</v>
      </c>
      <c r="I117" s="24" t="s">
        <v>484</v>
      </c>
      <c r="J117" s="24" t="s">
        <v>17</v>
      </c>
    </row>
    <row r="118" ht="26" spans="1:10">
      <c r="A118" s="20">
        <v>9</v>
      </c>
      <c r="B118" s="21" t="s">
        <v>485</v>
      </c>
      <c r="C118" s="22" t="s">
        <v>486</v>
      </c>
      <c r="D118" s="23" t="s">
        <v>454</v>
      </c>
      <c r="E118" s="23" t="s">
        <v>13</v>
      </c>
      <c r="F118" s="23" t="s">
        <v>14</v>
      </c>
      <c r="G118" s="23">
        <v>60</v>
      </c>
      <c r="H118" s="24" t="s">
        <v>487</v>
      </c>
      <c r="I118" s="24" t="s">
        <v>488</v>
      </c>
      <c r="J118" s="24" t="s">
        <v>17</v>
      </c>
    </row>
    <row r="119" ht="26" spans="1:10">
      <c r="A119" s="20">
        <v>8.5</v>
      </c>
      <c r="B119" s="21" t="s">
        <v>489</v>
      </c>
      <c r="C119" s="22" t="s">
        <v>490</v>
      </c>
      <c r="D119" s="23" t="s">
        <v>454</v>
      </c>
      <c r="E119" s="23" t="s">
        <v>13</v>
      </c>
      <c r="F119" s="23" t="s">
        <v>14</v>
      </c>
      <c r="G119" s="23">
        <v>60</v>
      </c>
      <c r="H119" s="24" t="s">
        <v>491</v>
      </c>
      <c r="I119" s="24" t="s">
        <v>492</v>
      </c>
      <c r="J119" s="24" t="s">
        <v>17</v>
      </c>
    </row>
    <row r="120" ht="26" spans="1:10">
      <c r="A120" s="20">
        <v>8.75</v>
      </c>
      <c r="B120" s="21" t="s">
        <v>493</v>
      </c>
      <c r="C120" s="22" t="s">
        <v>494</v>
      </c>
      <c r="D120" s="23" t="s">
        <v>454</v>
      </c>
      <c r="E120" s="23" t="s">
        <v>13</v>
      </c>
      <c r="F120" s="23" t="s">
        <v>14</v>
      </c>
      <c r="G120" s="23">
        <v>60</v>
      </c>
      <c r="H120" s="24" t="s">
        <v>495</v>
      </c>
      <c r="I120" s="24" t="s">
        <v>496</v>
      </c>
      <c r="J120" s="24" t="s">
        <v>17</v>
      </c>
    </row>
    <row r="121" ht="26" spans="1:10">
      <c r="A121" s="20">
        <v>9</v>
      </c>
      <c r="B121" s="21" t="s">
        <v>497</v>
      </c>
      <c r="C121" s="22" t="s">
        <v>498</v>
      </c>
      <c r="D121" s="23" t="s">
        <v>454</v>
      </c>
      <c r="E121" s="23" t="s">
        <v>13</v>
      </c>
      <c r="F121" s="23" t="s">
        <v>14</v>
      </c>
      <c r="G121" s="23">
        <v>60</v>
      </c>
      <c r="H121" s="24" t="s">
        <v>499</v>
      </c>
      <c r="I121" s="24" t="s">
        <v>500</v>
      </c>
      <c r="J121" s="24" t="s">
        <v>17</v>
      </c>
    </row>
    <row r="122" ht="26" spans="1:10">
      <c r="A122" s="20">
        <v>8.5</v>
      </c>
      <c r="B122" s="21" t="s">
        <v>501</v>
      </c>
      <c r="C122" s="22" t="s">
        <v>502</v>
      </c>
      <c r="D122" s="23" t="s">
        <v>454</v>
      </c>
      <c r="E122" s="23" t="s">
        <v>13</v>
      </c>
      <c r="F122" s="23" t="s">
        <v>14</v>
      </c>
      <c r="G122" s="23">
        <v>60</v>
      </c>
      <c r="H122" s="24" t="s">
        <v>503</v>
      </c>
      <c r="I122" s="24" t="s">
        <v>504</v>
      </c>
      <c r="J122" s="24" t="s">
        <v>17</v>
      </c>
    </row>
    <row r="123" ht="26" spans="1:10">
      <c r="A123" s="20">
        <v>8.75</v>
      </c>
      <c r="B123" s="21" t="s">
        <v>505</v>
      </c>
      <c r="C123" s="22" t="s">
        <v>506</v>
      </c>
      <c r="D123" s="23" t="s">
        <v>454</v>
      </c>
      <c r="E123" s="23" t="s">
        <v>13</v>
      </c>
      <c r="F123" s="23" t="s">
        <v>64</v>
      </c>
      <c r="G123" s="23">
        <v>60</v>
      </c>
      <c r="H123" s="24" t="s">
        <v>507</v>
      </c>
      <c r="I123" s="24" t="s">
        <v>508</v>
      </c>
      <c r="J123" s="24" t="s">
        <v>17</v>
      </c>
    </row>
    <row r="124" ht="26" spans="1:10">
      <c r="A124" s="20">
        <v>9</v>
      </c>
      <c r="B124" s="21" t="s">
        <v>509</v>
      </c>
      <c r="C124" s="22" t="s">
        <v>510</v>
      </c>
      <c r="D124" s="23" t="s">
        <v>454</v>
      </c>
      <c r="E124" s="23" t="s">
        <v>13</v>
      </c>
      <c r="F124" s="23" t="s">
        <v>64</v>
      </c>
      <c r="G124" s="23">
        <v>60</v>
      </c>
      <c r="H124" s="24" t="s">
        <v>511</v>
      </c>
      <c r="I124" s="24" t="s">
        <v>512</v>
      </c>
      <c r="J124" s="24" t="s">
        <v>17</v>
      </c>
    </row>
    <row r="125" ht="26" spans="1:10">
      <c r="A125" s="20">
        <v>8.5</v>
      </c>
      <c r="B125" s="21" t="s">
        <v>513</v>
      </c>
      <c r="C125" s="22" t="s">
        <v>514</v>
      </c>
      <c r="D125" s="23" t="s">
        <v>454</v>
      </c>
      <c r="E125" s="23" t="s">
        <v>13</v>
      </c>
      <c r="F125" s="23" t="s">
        <v>64</v>
      </c>
      <c r="G125" s="23">
        <v>60</v>
      </c>
      <c r="H125" s="24" t="s">
        <v>515</v>
      </c>
      <c r="I125" s="24" t="s">
        <v>516</v>
      </c>
      <c r="J125" s="24" t="s">
        <v>17</v>
      </c>
    </row>
    <row r="126" ht="26" spans="1:10">
      <c r="A126" s="20">
        <v>8.75</v>
      </c>
      <c r="B126" s="21" t="s">
        <v>517</v>
      </c>
      <c r="C126" s="22" t="s">
        <v>518</v>
      </c>
      <c r="D126" s="23" t="s">
        <v>454</v>
      </c>
      <c r="E126" s="23" t="s">
        <v>13</v>
      </c>
      <c r="F126" s="23" t="s">
        <v>14</v>
      </c>
      <c r="G126" s="23">
        <v>60</v>
      </c>
      <c r="H126" s="24" t="s">
        <v>519</v>
      </c>
      <c r="I126" s="24" t="s">
        <v>520</v>
      </c>
      <c r="J126" s="24" t="s">
        <v>17</v>
      </c>
    </row>
    <row r="127" ht="26" spans="1:10">
      <c r="A127" s="20">
        <v>9</v>
      </c>
      <c r="B127" s="21" t="s">
        <v>521</v>
      </c>
      <c r="C127" s="22" t="s">
        <v>522</v>
      </c>
      <c r="D127" s="23" t="s">
        <v>454</v>
      </c>
      <c r="E127" s="23" t="s">
        <v>13</v>
      </c>
      <c r="F127" s="23" t="s">
        <v>14</v>
      </c>
      <c r="G127" s="23">
        <v>60</v>
      </c>
      <c r="H127" s="24" t="s">
        <v>523</v>
      </c>
      <c r="I127" s="24" t="s">
        <v>524</v>
      </c>
      <c r="J127" s="24" t="s">
        <v>17</v>
      </c>
    </row>
    <row r="128" ht="26" spans="1:10">
      <c r="A128" s="20">
        <v>7</v>
      </c>
      <c r="B128" s="21" t="s">
        <v>525</v>
      </c>
      <c r="C128" s="22" t="s">
        <v>526</v>
      </c>
      <c r="D128" s="23" t="s">
        <v>527</v>
      </c>
      <c r="E128" s="23" t="s">
        <v>13</v>
      </c>
      <c r="F128" s="23" t="s">
        <v>14</v>
      </c>
      <c r="G128" s="23">
        <v>60</v>
      </c>
      <c r="H128" s="24" t="s">
        <v>528</v>
      </c>
      <c r="I128" s="24" t="s">
        <v>529</v>
      </c>
      <c r="J128" s="24" t="s">
        <v>17</v>
      </c>
    </row>
    <row r="129" ht="26" spans="1:10">
      <c r="A129" s="20">
        <v>7.25</v>
      </c>
      <c r="B129" s="21" t="s">
        <v>530</v>
      </c>
      <c r="C129" s="22" t="s">
        <v>531</v>
      </c>
      <c r="D129" s="23" t="s">
        <v>527</v>
      </c>
      <c r="E129" s="23" t="s">
        <v>13</v>
      </c>
      <c r="F129" s="23" t="s">
        <v>14</v>
      </c>
      <c r="G129" s="23">
        <v>60</v>
      </c>
      <c r="H129" s="24" t="s">
        <v>532</v>
      </c>
      <c r="I129" s="24" t="s">
        <v>533</v>
      </c>
      <c r="J129" s="24" t="s">
        <v>17</v>
      </c>
    </row>
    <row r="130" ht="26" spans="1:10">
      <c r="A130" s="20">
        <v>7.5</v>
      </c>
      <c r="B130" s="21" t="s">
        <v>534</v>
      </c>
      <c r="C130" s="22" t="s">
        <v>535</v>
      </c>
      <c r="D130" s="23" t="s">
        <v>527</v>
      </c>
      <c r="E130" s="23" t="s">
        <v>13</v>
      </c>
      <c r="F130" s="23" t="s">
        <v>14</v>
      </c>
      <c r="G130" s="23">
        <v>60</v>
      </c>
      <c r="H130" s="24" t="s">
        <v>536</v>
      </c>
      <c r="I130" s="24" t="s">
        <v>537</v>
      </c>
      <c r="J130" s="24" t="s">
        <v>17</v>
      </c>
    </row>
    <row r="131" ht="26" spans="1:10">
      <c r="A131" s="20">
        <v>7</v>
      </c>
      <c r="B131" s="21" t="s">
        <v>538</v>
      </c>
      <c r="C131" s="22" t="s">
        <v>539</v>
      </c>
      <c r="D131" s="23" t="s">
        <v>527</v>
      </c>
      <c r="E131" s="23" t="s">
        <v>13</v>
      </c>
      <c r="F131" s="23" t="s">
        <v>64</v>
      </c>
      <c r="G131" s="23">
        <v>60</v>
      </c>
      <c r="H131" s="24" t="s">
        <v>540</v>
      </c>
      <c r="I131" s="24" t="s">
        <v>541</v>
      </c>
      <c r="J131" s="24" t="s">
        <v>17</v>
      </c>
    </row>
    <row r="132" ht="26" spans="1:10">
      <c r="A132" s="20">
        <v>7.25</v>
      </c>
      <c r="B132" s="21" t="s">
        <v>542</v>
      </c>
      <c r="C132" s="22" t="s">
        <v>543</v>
      </c>
      <c r="D132" s="23" t="s">
        <v>527</v>
      </c>
      <c r="E132" s="23" t="s">
        <v>13</v>
      </c>
      <c r="F132" s="23" t="s">
        <v>64</v>
      </c>
      <c r="G132" s="23">
        <v>60</v>
      </c>
      <c r="H132" s="24" t="s">
        <v>544</v>
      </c>
      <c r="I132" s="24" t="s">
        <v>545</v>
      </c>
      <c r="J132" s="24" t="s">
        <v>17</v>
      </c>
    </row>
    <row r="133" ht="26" spans="1:10">
      <c r="A133" s="20">
        <v>7.5</v>
      </c>
      <c r="B133" s="21" t="s">
        <v>546</v>
      </c>
      <c r="C133" s="22" t="s">
        <v>547</v>
      </c>
      <c r="D133" s="23" t="s">
        <v>527</v>
      </c>
      <c r="E133" s="23" t="s">
        <v>13</v>
      </c>
      <c r="F133" s="23" t="s">
        <v>14</v>
      </c>
      <c r="G133" s="23">
        <v>60</v>
      </c>
      <c r="H133" s="24" t="s">
        <v>548</v>
      </c>
      <c r="I133" s="24" t="s">
        <v>549</v>
      </c>
      <c r="J133" s="24" t="s">
        <v>17</v>
      </c>
    </row>
    <row r="134" ht="26" spans="1:10">
      <c r="A134" s="20">
        <v>7</v>
      </c>
      <c r="B134" s="21" t="s">
        <v>550</v>
      </c>
      <c r="C134" s="22" t="s">
        <v>551</v>
      </c>
      <c r="D134" s="23" t="s">
        <v>527</v>
      </c>
      <c r="E134" s="23" t="s">
        <v>13</v>
      </c>
      <c r="F134" s="23" t="s">
        <v>14</v>
      </c>
      <c r="G134" s="23">
        <v>60</v>
      </c>
      <c r="H134" s="24" t="s">
        <v>552</v>
      </c>
      <c r="I134" s="24" t="s">
        <v>553</v>
      </c>
      <c r="J134" s="24" t="s">
        <v>17</v>
      </c>
    </row>
    <row r="135" ht="26" spans="1:10">
      <c r="A135" s="20">
        <v>7.25</v>
      </c>
      <c r="B135" s="21" t="s">
        <v>554</v>
      </c>
      <c r="C135" s="22" t="s">
        <v>555</v>
      </c>
      <c r="D135" s="23" t="s">
        <v>527</v>
      </c>
      <c r="E135" s="23" t="s">
        <v>13</v>
      </c>
      <c r="F135" s="23" t="s">
        <v>14</v>
      </c>
      <c r="G135" s="23">
        <v>60</v>
      </c>
      <c r="H135" s="24" t="s">
        <v>556</v>
      </c>
      <c r="I135" s="24" t="s">
        <v>557</v>
      </c>
      <c r="J135" s="24" t="s">
        <v>17</v>
      </c>
    </row>
    <row r="136" ht="26" spans="1:10">
      <c r="A136" s="20">
        <v>7.5</v>
      </c>
      <c r="B136" s="21" t="s">
        <v>558</v>
      </c>
      <c r="C136" s="22" t="s">
        <v>559</v>
      </c>
      <c r="D136" s="23" t="s">
        <v>527</v>
      </c>
      <c r="E136" s="23" t="s">
        <v>13</v>
      </c>
      <c r="F136" s="23" t="s">
        <v>64</v>
      </c>
      <c r="G136" s="23">
        <v>60</v>
      </c>
      <c r="H136" s="24" t="s">
        <v>560</v>
      </c>
      <c r="I136" s="24" t="s">
        <v>561</v>
      </c>
      <c r="J136" s="24" t="s">
        <v>17</v>
      </c>
    </row>
    <row r="137" ht="26" spans="1:10">
      <c r="A137" s="20">
        <v>7</v>
      </c>
      <c r="B137" s="21" t="s">
        <v>562</v>
      </c>
      <c r="C137" s="22" t="s">
        <v>563</v>
      </c>
      <c r="D137" s="23" t="s">
        <v>527</v>
      </c>
      <c r="E137" s="23" t="s">
        <v>13</v>
      </c>
      <c r="F137" s="23" t="s">
        <v>14</v>
      </c>
      <c r="G137" s="23">
        <v>60</v>
      </c>
      <c r="H137" s="24" t="s">
        <v>564</v>
      </c>
      <c r="I137" s="24" t="s">
        <v>565</v>
      </c>
      <c r="J137" s="24" t="s">
        <v>17</v>
      </c>
    </row>
    <row r="138" ht="26" spans="1:10">
      <c r="A138" s="20">
        <v>7.25</v>
      </c>
      <c r="B138" s="21" t="s">
        <v>566</v>
      </c>
      <c r="C138" s="22" t="s">
        <v>567</v>
      </c>
      <c r="D138" s="23" t="s">
        <v>527</v>
      </c>
      <c r="E138" s="23" t="s">
        <v>13</v>
      </c>
      <c r="F138" s="23" t="s">
        <v>14</v>
      </c>
      <c r="G138" s="23">
        <v>60</v>
      </c>
      <c r="H138" s="24" t="s">
        <v>568</v>
      </c>
      <c r="I138" s="24" t="s">
        <v>569</v>
      </c>
      <c r="J138" s="24" t="s">
        <v>17</v>
      </c>
    </row>
    <row r="139" ht="26" spans="1:10">
      <c r="A139" s="20">
        <v>7.5</v>
      </c>
      <c r="B139" s="21" t="s">
        <v>570</v>
      </c>
      <c r="C139" s="22" t="s">
        <v>571</v>
      </c>
      <c r="D139" s="23" t="s">
        <v>527</v>
      </c>
      <c r="E139" s="23" t="s">
        <v>13</v>
      </c>
      <c r="F139" s="23" t="s">
        <v>14</v>
      </c>
      <c r="G139" s="23">
        <v>60</v>
      </c>
      <c r="H139" s="24" t="s">
        <v>572</v>
      </c>
      <c r="I139" s="24" t="s">
        <v>573</v>
      </c>
      <c r="J139" s="24" t="s">
        <v>17</v>
      </c>
    </row>
    <row r="140" ht="26" spans="1:10">
      <c r="A140" s="20">
        <v>7</v>
      </c>
      <c r="B140" s="21" t="s">
        <v>574</v>
      </c>
      <c r="C140" s="22" t="s">
        <v>575</v>
      </c>
      <c r="D140" s="23" t="s">
        <v>527</v>
      </c>
      <c r="E140" s="23" t="s">
        <v>13</v>
      </c>
      <c r="F140" s="23" t="s">
        <v>14</v>
      </c>
      <c r="G140" s="23">
        <v>60</v>
      </c>
      <c r="H140" s="24" t="s">
        <v>576</v>
      </c>
      <c r="I140" s="24" t="s">
        <v>577</v>
      </c>
      <c r="J140" s="24" t="s">
        <v>17</v>
      </c>
    </row>
    <row r="141" ht="26" spans="1:10">
      <c r="A141" s="20">
        <v>7.25</v>
      </c>
      <c r="B141" s="21" t="s">
        <v>578</v>
      </c>
      <c r="C141" s="22" t="s">
        <v>579</v>
      </c>
      <c r="D141" s="23" t="s">
        <v>527</v>
      </c>
      <c r="E141" s="23" t="s">
        <v>13</v>
      </c>
      <c r="F141" s="23" t="s">
        <v>14</v>
      </c>
      <c r="G141" s="23">
        <v>60</v>
      </c>
      <c r="H141" s="24" t="s">
        <v>580</v>
      </c>
      <c r="I141" s="24" t="s">
        <v>581</v>
      </c>
      <c r="J141" s="24" t="s">
        <v>17</v>
      </c>
    </row>
    <row r="142" ht="26" spans="1:10">
      <c r="A142" s="20">
        <v>7.5</v>
      </c>
      <c r="B142" s="21" t="s">
        <v>582</v>
      </c>
      <c r="C142" s="22" t="s">
        <v>583</v>
      </c>
      <c r="D142" s="23" t="s">
        <v>527</v>
      </c>
      <c r="E142" s="23" t="s">
        <v>13</v>
      </c>
      <c r="F142" s="23" t="s">
        <v>14</v>
      </c>
      <c r="G142" s="23">
        <v>60</v>
      </c>
      <c r="H142" s="24" t="s">
        <v>584</v>
      </c>
      <c r="I142" s="24" t="s">
        <v>585</v>
      </c>
      <c r="J142" s="24" t="s">
        <v>17</v>
      </c>
    </row>
    <row r="143" ht="26" spans="1:10">
      <c r="A143" s="20">
        <v>7</v>
      </c>
      <c r="B143" s="21" t="s">
        <v>586</v>
      </c>
      <c r="C143" s="22" t="s">
        <v>587</v>
      </c>
      <c r="D143" s="23" t="s">
        <v>527</v>
      </c>
      <c r="E143" s="23" t="s">
        <v>13</v>
      </c>
      <c r="F143" s="23" t="s">
        <v>14</v>
      </c>
      <c r="G143" s="23">
        <v>60</v>
      </c>
      <c r="H143" s="24" t="s">
        <v>588</v>
      </c>
      <c r="I143" s="24" t="s">
        <v>589</v>
      </c>
      <c r="J143" s="24" t="s">
        <v>17</v>
      </c>
    </row>
    <row r="144" ht="26" spans="1:10">
      <c r="A144" s="20">
        <v>7.25</v>
      </c>
      <c r="B144" s="21" t="s">
        <v>590</v>
      </c>
      <c r="C144" s="22" t="s">
        <v>591</v>
      </c>
      <c r="D144" s="23" t="s">
        <v>527</v>
      </c>
      <c r="E144" s="23" t="s">
        <v>13</v>
      </c>
      <c r="F144" s="23" t="s">
        <v>14</v>
      </c>
      <c r="G144" s="23">
        <v>60</v>
      </c>
      <c r="H144" s="24" t="s">
        <v>592</v>
      </c>
      <c r="I144" s="24" t="s">
        <v>593</v>
      </c>
      <c r="J144" s="24" t="s">
        <v>17</v>
      </c>
    </row>
    <row r="145" ht="26" spans="1:10">
      <c r="A145" s="20">
        <v>7.5</v>
      </c>
      <c r="B145" s="21" t="s">
        <v>594</v>
      </c>
      <c r="C145" s="22" t="s">
        <v>595</v>
      </c>
      <c r="D145" s="23" t="s">
        <v>527</v>
      </c>
      <c r="E145" s="23" t="s">
        <v>13</v>
      </c>
      <c r="F145" s="23" t="s">
        <v>14</v>
      </c>
      <c r="G145" s="23">
        <v>60</v>
      </c>
      <c r="H145" s="24" t="s">
        <v>596</v>
      </c>
      <c r="I145" s="24" t="s">
        <v>597</v>
      </c>
      <c r="J145" s="24" t="s">
        <v>17</v>
      </c>
    </row>
    <row r="146" ht="26" spans="1:10">
      <c r="A146" s="20">
        <v>9</v>
      </c>
      <c r="B146" s="21" t="s">
        <v>598</v>
      </c>
      <c r="C146" s="22" t="s">
        <v>599</v>
      </c>
      <c r="D146" s="23" t="s">
        <v>600</v>
      </c>
      <c r="E146" s="23" t="s">
        <v>13</v>
      </c>
      <c r="F146" s="23" t="s">
        <v>14</v>
      </c>
      <c r="G146" s="23">
        <v>60</v>
      </c>
      <c r="H146" s="24" t="s">
        <v>601</v>
      </c>
      <c r="I146" s="24" t="s">
        <v>602</v>
      </c>
      <c r="J146" s="24" t="s">
        <v>17</v>
      </c>
    </row>
    <row r="147" ht="26" spans="1:10">
      <c r="A147" s="20">
        <v>9.25</v>
      </c>
      <c r="B147" s="21" t="s">
        <v>603</v>
      </c>
      <c r="C147" s="22" t="s">
        <v>604</v>
      </c>
      <c r="D147" s="23" t="s">
        <v>600</v>
      </c>
      <c r="E147" s="23" t="s">
        <v>13</v>
      </c>
      <c r="F147" s="23" t="s">
        <v>14</v>
      </c>
      <c r="G147" s="23">
        <v>60</v>
      </c>
      <c r="H147" s="24" t="s">
        <v>605</v>
      </c>
      <c r="I147" s="24" t="s">
        <v>606</v>
      </c>
      <c r="J147" s="24" t="s">
        <v>17</v>
      </c>
    </row>
    <row r="148" ht="26" spans="1:10">
      <c r="A148" s="20">
        <v>9.5</v>
      </c>
      <c r="B148" s="21" t="s">
        <v>607</v>
      </c>
      <c r="C148" s="22" t="s">
        <v>608</v>
      </c>
      <c r="D148" s="23" t="s">
        <v>600</v>
      </c>
      <c r="E148" s="23" t="s">
        <v>13</v>
      </c>
      <c r="F148" s="23" t="s">
        <v>14</v>
      </c>
      <c r="G148" s="23">
        <v>60</v>
      </c>
      <c r="H148" s="24" t="s">
        <v>609</v>
      </c>
      <c r="I148" s="24" t="s">
        <v>610</v>
      </c>
      <c r="J148" s="24" t="s">
        <v>17</v>
      </c>
    </row>
    <row r="149" ht="26" spans="1:10">
      <c r="A149" s="20">
        <v>9</v>
      </c>
      <c r="B149" s="21" t="s">
        <v>611</v>
      </c>
      <c r="C149" s="22" t="s">
        <v>612</v>
      </c>
      <c r="D149" s="23" t="s">
        <v>600</v>
      </c>
      <c r="E149" s="23" t="s">
        <v>13</v>
      </c>
      <c r="F149" s="23" t="s">
        <v>14</v>
      </c>
      <c r="G149" s="23">
        <v>60</v>
      </c>
      <c r="H149" s="24" t="s">
        <v>613</v>
      </c>
      <c r="I149" s="24" t="s">
        <v>614</v>
      </c>
      <c r="J149" s="24" t="s">
        <v>17</v>
      </c>
    </row>
    <row r="150" ht="26" spans="1:10">
      <c r="A150" s="20">
        <v>9.25</v>
      </c>
      <c r="B150" s="21" t="s">
        <v>615</v>
      </c>
      <c r="C150" s="22" t="s">
        <v>616</v>
      </c>
      <c r="D150" s="23" t="s">
        <v>600</v>
      </c>
      <c r="E150" s="23" t="s">
        <v>13</v>
      </c>
      <c r="F150" s="23" t="s">
        <v>14</v>
      </c>
      <c r="G150" s="23">
        <v>60</v>
      </c>
      <c r="H150" s="24" t="s">
        <v>617</v>
      </c>
      <c r="I150" s="24" t="s">
        <v>618</v>
      </c>
      <c r="J150" s="24" t="s">
        <v>17</v>
      </c>
    </row>
    <row r="151" ht="26" spans="1:10">
      <c r="A151" s="20">
        <v>9.5</v>
      </c>
      <c r="B151" s="21" t="s">
        <v>619</v>
      </c>
      <c r="C151" s="22" t="s">
        <v>620</v>
      </c>
      <c r="D151" s="23" t="s">
        <v>600</v>
      </c>
      <c r="E151" s="23" t="s">
        <v>13</v>
      </c>
      <c r="F151" s="23" t="s">
        <v>14</v>
      </c>
      <c r="G151" s="23">
        <v>60</v>
      </c>
      <c r="H151" s="24" t="s">
        <v>621</v>
      </c>
      <c r="I151" s="24" t="s">
        <v>622</v>
      </c>
      <c r="J151" s="24" t="s">
        <v>17</v>
      </c>
    </row>
    <row r="152" ht="26" spans="1:10">
      <c r="A152" s="20">
        <v>9</v>
      </c>
      <c r="B152" s="21" t="s">
        <v>623</v>
      </c>
      <c r="C152" s="22" t="s">
        <v>624</v>
      </c>
      <c r="D152" s="23" t="s">
        <v>600</v>
      </c>
      <c r="E152" s="23" t="s">
        <v>13</v>
      </c>
      <c r="F152" s="23" t="s">
        <v>14</v>
      </c>
      <c r="G152" s="23">
        <v>60</v>
      </c>
      <c r="H152" s="24" t="s">
        <v>625</v>
      </c>
      <c r="I152" s="24" t="s">
        <v>626</v>
      </c>
      <c r="J152" s="24" t="s">
        <v>17</v>
      </c>
    </row>
    <row r="153" ht="26" spans="1:10">
      <c r="A153" s="20">
        <v>9.25</v>
      </c>
      <c r="B153" s="21" t="s">
        <v>627</v>
      </c>
      <c r="C153" s="22" t="s">
        <v>628</v>
      </c>
      <c r="D153" s="23" t="s">
        <v>600</v>
      </c>
      <c r="E153" s="23" t="s">
        <v>13</v>
      </c>
      <c r="F153" s="23" t="s">
        <v>14</v>
      </c>
      <c r="G153" s="23">
        <v>60</v>
      </c>
      <c r="H153" s="24" t="s">
        <v>629</v>
      </c>
      <c r="I153" s="24" t="s">
        <v>630</v>
      </c>
      <c r="J153" s="24" t="s">
        <v>17</v>
      </c>
    </row>
    <row r="154" ht="26" spans="1:10">
      <c r="A154" s="20">
        <v>9.5</v>
      </c>
      <c r="B154" s="21" t="s">
        <v>631</v>
      </c>
      <c r="C154" s="22" t="s">
        <v>632</v>
      </c>
      <c r="D154" s="23" t="s">
        <v>600</v>
      </c>
      <c r="E154" s="23" t="s">
        <v>13</v>
      </c>
      <c r="F154" s="23" t="s">
        <v>14</v>
      </c>
      <c r="G154" s="23">
        <v>60</v>
      </c>
      <c r="H154" s="24" t="s">
        <v>633</v>
      </c>
      <c r="I154" s="24" t="s">
        <v>634</v>
      </c>
      <c r="J154" s="24" t="s">
        <v>17</v>
      </c>
    </row>
    <row r="155" ht="26" spans="1:10">
      <c r="A155" s="20">
        <v>9</v>
      </c>
      <c r="B155" s="21" t="s">
        <v>635</v>
      </c>
      <c r="C155" s="22" t="s">
        <v>636</v>
      </c>
      <c r="D155" s="23" t="s">
        <v>600</v>
      </c>
      <c r="E155" s="23" t="s">
        <v>13</v>
      </c>
      <c r="F155" s="23" t="s">
        <v>14</v>
      </c>
      <c r="G155" s="23">
        <v>60</v>
      </c>
      <c r="H155" s="24" t="s">
        <v>637</v>
      </c>
      <c r="I155" s="24" t="s">
        <v>638</v>
      </c>
      <c r="J155" s="24" t="s">
        <v>17</v>
      </c>
    </row>
    <row r="156" ht="26" spans="1:10">
      <c r="A156" s="20">
        <v>9.25</v>
      </c>
      <c r="B156" s="21" t="s">
        <v>639</v>
      </c>
      <c r="C156" s="22" t="s">
        <v>640</v>
      </c>
      <c r="D156" s="23" t="s">
        <v>600</v>
      </c>
      <c r="E156" s="23" t="s">
        <v>13</v>
      </c>
      <c r="F156" s="23" t="s">
        <v>14</v>
      </c>
      <c r="G156" s="23">
        <v>60</v>
      </c>
      <c r="H156" s="24" t="s">
        <v>641</v>
      </c>
      <c r="I156" s="24" t="s">
        <v>642</v>
      </c>
      <c r="J156" s="24" t="s">
        <v>17</v>
      </c>
    </row>
    <row r="157" ht="26" spans="1:10">
      <c r="A157" s="20">
        <v>9.5</v>
      </c>
      <c r="B157" s="21" t="s">
        <v>643</v>
      </c>
      <c r="C157" s="22" t="s">
        <v>644</v>
      </c>
      <c r="D157" s="23" t="s">
        <v>600</v>
      </c>
      <c r="E157" s="23" t="s">
        <v>13</v>
      </c>
      <c r="F157" s="23" t="s">
        <v>14</v>
      </c>
      <c r="G157" s="23">
        <v>60</v>
      </c>
      <c r="H157" s="24" t="s">
        <v>645</v>
      </c>
      <c r="I157" s="24" t="s">
        <v>646</v>
      </c>
      <c r="J157" s="24" t="s">
        <v>17</v>
      </c>
    </row>
    <row r="158" ht="26" spans="1:10">
      <c r="A158" s="20">
        <v>9</v>
      </c>
      <c r="B158" s="21" t="s">
        <v>647</v>
      </c>
      <c r="C158" s="22" t="s">
        <v>648</v>
      </c>
      <c r="D158" s="23" t="s">
        <v>600</v>
      </c>
      <c r="E158" s="23" t="s">
        <v>13</v>
      </c>
      <c r="F158" s="23" t="s">
        <v>14</v>
      </c>
      <c r="G158" s="23">
        <v>60</v>
      </c>
      <c r="H158" s="24" t="s">
        <v>649</v>
      </c>
      <c r="I158" s="24" t="s">
        <v>650</v>
      </c>
      <c r="J158" s="24" t="s">
        <v>17</v>
      </c>
    </row>
    <row r="159" ht="26" spans="1:10">
      <c r="A159" s="20">
        <v>9.25</v>
      </c>
      <c r="B159" s="21" t="s">
        <v>651</v>
      </c>
      <c r="C159" s="22" t="s">
        <v>652</v>
      </c>
      <c r="D159" s="23" t="s">
        <v>600</v>
      </c>
      <c r="E159" s="23" t="s">
        <v>13</v>
      </c>
      <c r="F159" s="23" t="s">
        <v>14</v>
      </c>
      <c r="G159" s="23">
        <v>60</v>
      </c>
      <c r="H159" s="24" t="s">
        <v>653</v>
      </c>
      <c r="I159" s="24" t="s">
        <v>654</v>
      </c>
      <c r="J159" s="24" t="s">
        <v>17</v>
      </c>
    </row>
    <row r="160" ht="26" spans="1:10">
      <c r="A160" s="20">
        <v>9.5</v>
      </c>
      <c r="B160" s="21" t="s">
        <v>655</v>
      </c>
      <c r="C160" s="22" t="s">
        <v>656</v>
      </c>
      <c r="D160" s="23" t="s">
        <v>600</v>
      </c>
      <c r="E160" s="23" t="s">
        <v>13</v>
      </c>
      <c r="F160" s="23" t="s">
        <v>14</v>
      </c>
      <c r="G160" s="23">
        <v>60</v>
      </c>
      <c r="H160" s="24" t="s">
        <v>657</v>
      </c>
      <c r="I160" s="24" t="s">
        <v>658</v>
      </c>
      <c r="J160" s="24" t="s">
        <v>17</v>
      </c>
    </row>
    <row r="161" ht="26" spans="1:10">
      <c r="A161" s="20">
        <v>9</v>
      </c>
      <c r="B161" s="21" t="s">
        <v>659</v>
      </c>
      <c r="C161" s="22" t="s">
        <v>660</v>
      </c>
      <c r="D161" s="23" t="s">
        <v>600</v>
      </c>
      <c r="E161" s="23" t="s">
        <v>13</v>
      </c>
      <c r="F161" s="23" t="s">
        <v>14</v>
      </c>
      <c r="G161" s="23">
        <v>60</v>
      </c>
      <c r="H161" s="24" t="s">
        <v>661</v>
      </c>
      <c r="I161" s="24" t="s">
        <v>662</v>
      </c>
      <c r="J161" s="24" t="s">
        <v>17</v>
      </c>
    </row>
    <row r="162" ht="26" spans="1:10">
      <c r="A162" s="20">
        <v>9.25</v>
      </c>
      <c r="B162" s="21" t="s">
        <v>663</v>
      </c>
      <c r="C162" s="22" t="s">
        <v>664</v>
      </c>
      <c r="D162" s="23" t="s">
        <v>600</v>
      </c>
      <c r="E162" s="23" t="s">
        <v>13</v>
      </c>
      <c r="F162" s="23" t="s">
        <v>14</v>
      </c>
      <c r="G162" s="23">
        <v>60</v>
      </c>
      <c r="H162" s="24" t="s">
        <v>665</v>
      </c>
      <c r="I162" s="24" t="s">
        <v>666</v>
      </c>
      <c r="J162" s="24" t="s">
        <v>17</v>
      </c>
    </row>
    <row r="163" ht="26" spans="1:10">
      <c r="A163" s="20">
        <v>9.5</v>
      </c>
      <c r="B163" s="21" t="s">
        <v>667</v>
      </c>
      <c r="C163" s="22" t="s">
        <v>668</v>
      </c>
      <c r="D163" s="23" t="s">
        <v>600</v>
      </c>
      <c r="E163" s="23" t="s">
        <v>13</v>
      </c>
      <c r="F163" s="23" t="s">
        <v>14</v>
      </c>
      <c r="G163" s="23">
        <v>60</v>
      </c>
      <c r="H163" s="24" t="s">
        <v>669</v>
      </c>
      <c r="I163" s="24" t="s">
        <v>670</v>
      </c>
      <c r="J163" s="24" t="s">
        <v>17</v>
      </c>
    </row>
    <row r="164" ht="26" spans="1:10">
      <c r="A164" s="20">
        <v>9</v>
      </c>
      <c r="B164" s="21" t="s">
        <v>671</v>
      </c>
      <c r="C164" s="22" t="s">
        <v>672</v>
      </c>
      <c r="D164" s="23" t="s">
        <v>673</v>
      </c>
      <c r="E164" s="23" t="s">
        <v>13</v>
      </c>
      <c r="F164" s="23" t="s">
        <v>14</v>
      </c>
      <c r="G164" s="23">
        <v>60</v>
      </c>
      <c r="H164" s="24" t="s">
        <v>674</v>
      </c>
      <c r="I164" s="24" t="s">
        <v>675</v>
      </c>
      <c r="J164" s="24" t="s">
        <v>17</v>
      </c>
    </row>
    <row r="165" ht="26" spans="1:10">
      <c r="A165" s="20">
        <v>9.25</v>
      </c>
      <c r="B165" s="21" t="s">
        <v>676</v>
      </c>
      <c r="C165" s="22" t="s">
        <v>677</v>
      </c>
      <c r="D165" s="23" t="s">
        <v>673</v>
      </c>
      <c r="E165" s="23" t="s">
        <v>13</v>
      </c>
      <c r="F165" s="23" t="s">
        <v>14</v>
      </c>
      <c r="G165" s="23">
        <v>60</v>
      </c>
      <c r="H165" s="24" t="s">
        <v>678</v>
      </c>
      <c r="I165" s="24" t="s">
        <v>679</v>
      </c>
      <c r="J165" s="24" t="s">
        <v>17</v>
      </c>
    </row>
    <row r="166" ht="26" spans="1:10">
      <c r="A166" s="20">
        <v>9.5</v>
      </c>
      <c r="B166" s="21" t="s">
        <v>680</v>
      </c>
      <c r="C166" s="22" t="s">
        <v>681</v>
      </c>
      <c r="D166" s="23" t="s">
        <v>673</v>
      </c>
      <c r="E166" s="23" t="s">
        <v>13</v>
      </c>
      <c r="F166" s="23" t="s">
        <v>14</v>
      </c>
      <c r="G166" s="23">
        <v>60</v>
      </c>
      <c r="H166" s="24" t="s">
        <v>682</v>
      </c>
      <c r="I166" s="24" t="s">
        <v>683</v>
      </c>
      <c r="J166" s="24" t="s">
        <v>17</v>
      </c>
    </row>
    <row r="167" ht="26" spans="1:10">
      <c r="A167" s="20">
        <v>9</v>
      </c>
      <c r="B167" s="21" t="s">
        <v>684</v>
      </c>
      <c r="C167" s="22" t="s">
        <v>685</v>
      </c>
      <c r="D167" s="23" t="s">
        <v>673</v>
      </c>
      <c r="E167" s="23" t="s">
        <v>13</v>
      </c>
      <c r="F167" s="23" t="s">
        <v>14</v>
      </c>
      <c r="G167" s="23">
        <v>60</v>
      </c>
      <c r="H167" s="24" t="s">
        <v>686</v>
      </c>
      <c r="I167" s="24" t="s">
        <v>687</v>
      </c>
      <c r="J167" s="24" t="s">
        <v>17</v>
      </c>
    </row>
    <row r="168" ht="26" spans="1:10">
      <c r="A168" s="20">
        <v>9.25</v>
      </c>
      <c r="B168" s="21" t="s">
        <v>688</v>
      </c>
      <c r="C168" s="22" t="s">
        <v>689</v>
      </c>
      <c r="D168" s="23" t="s">
        <v>673</v>
      </c>
      <c r="E168" s="23" t="s">
        <v>13</v>
      </c>
      <c r="F168" s="23" t="s">
        <v>14</v>
      </c>
      <c r="G168" s="23">
        <v>60</v>
      </c>
      <c r="H168" s="24" t="s">
        <v>690</v>
      </c>
      <c r="I168" s="24" t="s">
        <v>691</v>
      </c>
      <c r="J168" s="24" t="s">
        <v>17</v>
      </c>
    </row>
    <row r="169" ht="26" spans="1:10">
      <c r="A169" s="20">
        <v>9.5</v>
      </c>
      <c r="B169" s="21" t="s">
        <v>692</v>
      </c>
      <c r="C169" s="22" t="s">
        <v>693</v>
      </c>
      <c r="D169" s="23" t="s">
        <v>673</v>
      </c>
      <c r="E169" s="23" t="s">
        <v>13</v>
      </c>
      <c r="F169" s="23" t="s">
        <v>14</v>
      </c>
      <c r="G169" s="23">
        <v>60</v>
      </c>
      <c r="H169" s="24" t="s">
        <v>694</v>
      </c>
      <c r="I169" s="24" t="s">
        <v>695</v>
      </c>
      <c r="J169" s="24" t="s">
        <v>17</v>
      </c>
    </row>
    <row r="170" ht="26" spans="1:10">
      <c r="A170" s="20">
        <v>9</v>
      </c>
      <c r="B170" s="21" t="s">
        <v>696</v>
      </c>
      <c r="C170" s="22" t="s">
        <v>697</v>
      </c>
      <c r="D170" s="23" t="s">
        <v>673</v>
      </c>
      <c r="E170" s="23" t="s">
        <v>13</v>
      </c>
      <c r="F170" s="23" t="s">
        <v>14</v>
      </c>
      <c r="G170" s="23">
        <v>60</v>
      </c>
      <c r="H170" s="24" t="s">
        <v>698</v>
      </c>
      <c r="I170" s="24" t="s">
        <v>699</v>
      </c>
      <c r="J170" s="24" t="s">
        <v>17</v>
      </c>
    </row>
    <row r="171" ht="26" spans="1:10">
      <c r="A171" s="20">
        <v>9.25</v>
      </c>
      <c r="B171" s="21" t="s">
        <v>700</v>
      </c>
      <c r="C171" s="22" t="s">
        <v>701</v>
      </c>
      <c r="D171" s="23" t="s">
        <v>673</v>
      </c>
      <c r="E171" s="23" t="s">
        <v>13</v>
      </c>
      <c r="F171" s="23" t="s">
        <v>14</v>
      </c>
      <c r="G171" s="23">
        <v>60</v>
      </c>
      <c r="H171" s="24" t="s">
        <v>702</v>
      </c>
      <c r="I171" s="24" t="s">
        <v>703</v>
      </c>
      <c r="J171" s="24" t="s">
        <v>17</v>
      </c>
    </row>
    <row r="172" ht="26" spans="1:10">
      <c r="A172" s="20">
        <v>9.5</v>
      </c>
      <c r="B172" s="21" t="s">
        <v>704</v>
      </c>
      <c r="C172" s="22" t="s">
        <v>705</v>
      </c>
      <c r="D172" s="23" t="s">
        <v>673</v>
      </c>
      <c r="E172" s="23" t="s">
        <v>13</v>
      </c>
      <c r="F172" s="23" t="s">
        <v>14</v>
      </c>
      <c r="G172" s="23">
        <v>60</v>
      </c>
      <c r="H172" s="24" t="s">
        <v>706</v>
      </c>
      <c r="I172" s="24" t="s">
        <v>707</v>
      </c>
      <c r="J172" s="24" t="s">
        <v>17</v>
      </c>
    </row>
    <row r="173" ht="26" spans="1:10">
      <c r="A173" s="20">
        <v>9</v>
      </c>
      <c r="B173" s="21" t="s">
        <v>708</v>
      </c>
      <c r="C173" s="22" t="s">
        <v>709</v>
      </c>
      <c r="D173" s="23" t="s">
        <v>673</v>
      </c>
      <c r="E173" s="23" t="s">
        <v>13</v>
      </c>
      <c r="F173" s="23" t="s">
        <v>14</v>
      </c>
      <c r="G173" s="23">
        <v>60</v>
      </c>
      <c r="H173" s="24" t="s">
        <v>710</v>
      </c>
      <c r="I173" s="24" t="s">
        <v>711</v>
      </c>
      <c r="J173" s="24" t="s">
        <v>17</v>
      </c>
    </row>
    <row r="174" ht="26" spans="1:10">
      <c r="A174" s="20">
        <v>9.25</v>
      </c>
      <c r="B174" s="21" t="s">
        <v>712</v>
      </c>
      <c r="C174" s="22" t="s">
        <v>713</v>
      </c>
      <c r="D174" s="23" t="s">
        <v>673</v>
      </c>
      <c r="E174" s="23" t="s">
        <v>13</v>
      </c>
      <c r="F174" s="23" t="s">
        <v>14</v>
      </c>
      <c r="G174" s="23">
        <v>60</v>
      </c>
      <c r="H174" s="24" t="s">
        <v>714</v>
      </c>
      <c r="I174" s="24" t="s">
        <v>715</v>
      </c>
      <c r="J174" s="24" t="s">
        <v>17</v>
      </c>
    </row>
    <row r="175" ht="26" spans="1:10">
      <c r="A175" s="20">
        <v>9.5</v>
      </c>
      <c r="B175" s="21" t="s">
        <v>716</v>
      </c>
      <c r="C175" s="22" t="s">
        <v>717</v>
      </c>
      <c r="D175" s="23" t="s">
        <v>673</v>
      </c>
      <c r="E175" s="23" t="s">
        <v>13</v>
      </c>
      <c r="F175" s="23" t="s">
        <v>14</v>
      </c>
      <c r="G175" s="23">
        <v>60</v>
      </c>
      <c r="H175" s="24" t="s">
        <v>718</v>
      </c>
      <c r="I175" s="24" t="s">
        <v>719</v>
      </c>
      <c r="J175" s="24" t="s">
        <v>17</v>
      </c>
    </row>
    <row r="176" ht="26" spans="1:10">
      <c r="A176" s="20">
        <v>9</v>
      </c>
      <c r="B176" s="21" t="s">
        <v>720</v>
      </c>
      <c r="C176" s="22" t="s">
        <v>721</v>
      </c>
      <c r="D176" s="23" t="s">
        <v>673</v>
      </c>
      <c r="E176" s="23" t="s">
        <v>13</v>
      </c>
      <c r="F176" s="23" t="s">
        <v>14</v>
      </c>
      <c r="G176" s="23">
        <v>60</v>
      </c>
      <c r="H176" s="24" t="s">
        <v>722</v>
      </c>
      <c r="I176" s="24" t="s">
        <v>723</v>
      </c>
      <c r="J176" s="24" t="s">
        <v>17</v>
      </c>
    </row>
    <row r="177" ht="26" spans="1:10">
      <c r="A177" s="20">
        <v>9.25</v>
      </c>
      <c r="B177" s="21" t="s">
        <v>724</v>
      </c>
      <c r="C177" s="22" t="s">
        <v>725</v>
      </c>
      <c r="D177" s="23" t="s">
        <v>673</v>
      </c>
      <c r="E177" s="23" t="s">
        <v>13</v>
      </c>
      <c r="F177" s="23" t="s">
        <v>14</v>
      </c>
      <c r="G177" s="23">
        <v>60</v>
      </c>
      <c r="H177" s="24" t="s">
        <v>726</v>
      </c>
      <c r="I177" s="24" t="s">
        <v>727</v>
      </c>
      <c r="J177" s="24" t="s">
        <v>17</v>
      </c>
    </row>
    <row r="178" ht="26" spans="1:10">
      <c r="A178" s="20">
        <v>9.5</v>
      </c>
      <c r="B178" s="21" t="s">
        <v>728</v>
      </c>
      <c r="C178" s="22" t="s">
        <v>729</v>
      </c>
      <c r="D178" s="23" t="s">
        <v>673</v>
      </c>
      <c r="E178" s="23" t="s">
        <v>13</v>
      </c>
      <c r="F178" s="23" t="s">
        <v>14</v>
      </c>
      <c r="G178" s="23">
        <v>60</v>
      </c>
      <c r="H178" s="24" t="s">
        <v>730</v>
      </c>
      <c r="I178" s="24" t="s">
        <v>731</v>
      </c>
      <c r="J178" s="24" t="s">
        <v>17</v>
      </c>
    </row>
    <row r="179" ht="26" spans="1:10">
      <c r="A179" s="20">
        <v>9</v>
      </c>
      <c r="B179" s="21" t="s">
        <v>732</v>
      </c>
      <c r="C179" s="22" t="s">
        <v>733</v>
      </c>
      <c r="D179" s="23" t="s">
        <v>673</v>
      </c>
      <c r="E179" s="23" t="s">
        <v>13</v>
      </c>
      <c r="F179" s="23" t="s">
        <v>14</v>
      </c>
      <c r="G179" s="23">
        <v>60</v>
      </c>
      <c r="H179" s="24" t="s">
        <v>734</v>
      </c>
      <c r="I179" s="24" t="s">
        <v>735</v>
      </c>
      <c r="J179" s="24" t="s">
        <v>17</v>
      </c>
    </row>
    <row r="180" ht="26" spans="1:10">
      <c r="A180" s="20">
        <v>9.25</v>
      </c>
      <c r="B180" s="21" t="s">
        <v>736</v>
      </c>
      <c r="C180" s="22" t="s">
        <v>737</v>
      </c>
      <c r="D180" s="23" t="s">
        <v>673</v>
      </c>
      <c r="E180" s="23" t="s">
        <v>13</v>
      </c>
      <c r="F180" s="23" t="s">
        <v>14</v>
      </c>
      <c r="G180" s="23">
        <v>60</v>
      </c>
      <c r="H180" s="24" t="s">
        <v>738</v>
      </c>
      <c r="I180" s="24" t="s">
        <v>739</v>
      </c>
      <c r="J180" s="24" t="s">
        <v>17</v>
      </c>
    </row>
    <row r="181" ht="26" spans="1:10">
      <c r="A181" s="20">
        <v>9.5</v>
      </c>
      <c r="B181" s="21" t="s">
        <v>740</v>
      </c>
      <c r="C181" s="22" t="s">
        <v>741</v>
      </c>
      <c r="D181" s="23" t="s">
        <v>673</v>
      </c>
      <c r="E181" s="23" t="s">
        <v>13</v>
      </c>
      <c r="F181" s="23" t="s">
        <v>14</v>
      </c>
      <c r="G181" s="23">
        <v>60</v>
      </c>
      <c r="H181" s="24" t="s">
        <v>742</v>
      </c>
      <c r="I181" s="24" t="s">
        <v>743</v>
      </c>
      <c r="J181" s="24" t="s">
        <v>17</v>
      </c>
    </row>
    <row r="182" ht="26" spans="1:10">
      <c r="A182" s="20">
        <v>9.5</v>
      </c>
      <c r="B182" s="21" t="s">
        <v>744</v>
      </c>
      <c r="C182" s="22" t="s">
        <v>745</v>
      </c>
      <c r="D182" s="23" t="s">
        <v>746</v>
      </c>
      <c r="E182" s="23" t="s">
        <v>13</v>
      </c>
      <c r="F182" s="23" t="s">
        <v>14</v>
      </c>
      <c r="G182" s="23">
        <v>60</v>
      </c>
      <c r="H182" s="24" t="s">
        <v>747</v>
      </c>
      <c r="I182" s="24" t="s">
        <v>748</v>
      </c>
      <c r="J182" s="24" t="s">
        <v>17</v>
      </c>
    </row>
    <row r="183" ht="26" spans="1:10">
      <c r="A183" s="20">
        <v>9.75</v>
      </c>
      <c r="B183" s="21" t="s">
        <v>749</v>
      </c>
      <c r="C183" s="22" t="s">
        <v>750</v>
      </c>
      <c r="D183" s="23" t="s">
        <v>746</v>
      </c>
      <c r="E183" s="23" t="s">
        <v>13</v>
      </c>
      <c r="F183" s="23" t="s">
        <v>14</v>
      </c>
      <c r="G183" s="23">
        <v>60</v>
      </c>
      <c r="H183" s="24" t="s">
        <v>751</v>
      </c>
      <c r="I183" s="24" t="s">
        <v>752</v>
      </c>
      <c r="J183" s="24" t="s">
        <v>17</v>
      </c>
    </row>
    <row r="184" ht="26" spans="1:10">
      <c r="A184" s="20">
        <v>10</v>
      </c>
      <c r="B184" s="21" t="s">
        <v>753</v>
      </c>
      <c r="C184" s="22" t="s">
        <v>754</v>
      </c>
      <c r="D184" s="23" t="s">
        <v>746</v>
      </c>
      <c r="E184" s="23" t="s">
        <v>13</v>
      </c>
      <c r="F184" s="23" t="s">
        <v>14</v>
      </c>
      <c r="G184" s="23">
        <v>60</v>
      </c>
      <c r="H184" s="24" t="s">
        <v>755</v>
      </c>
      <c r="I184" s="24" t="s">
        <v>756</v>
      </c>
      <c r="J184" s="24" t="s">
        <v>17</v>
      </c>
    </row>
    <row r="185" ht="26" spans="1:10">
      <c r="A185" s="20">
        <v>9.5</v>
      </c>
      <c r="B185" s="21" t="s">
        <v>757</v>
      </c>
      <c r="C185" s="22" t="s">
        <v>758</v>
      </c>
      <c r="D185" s="23" t="s">
        <v>746</v>
      </c>
      <c r="E185" s="23" t="s">
        <v>13</v>
      </c>
      <c r="F185" s="23" t="s">
        <v>14</v>
      </c>
      <c r="G185" s="23">
        <v>60</v>
      </c>
      <c r="H185" s="24" t="s">
        <v>759</v>
      </c>
      <c r="I185" s="24" t="s">
        <v>760</v>
      </c>
      <c r="J185" s="24" t="s">
        <v>17</v>
      </c>
    </row>
    <row r="186" ht="26" spans="1:10">
      <c r="A186" s="20">
        <v>9.75</v>
      </c>
      <c r="B186" s="21" t="s">
        <v>761</v>
      </c>
      <c r="C186" s="22" t="s">
        <v>762</v>
      </c>
      <c r="D186" s="23" t="s">
        <v>746</v>
      </c>
      <c r="E186" s="23" t="s">
        <v>13</v>
      </c>
      <c r="F186" s="23" t="s">
        <v>14</v>
      </c>
      <c r="G186" s="23">
        <v>60</v>
      </c>
      <c r="H186" s="24" t="s">
        <v>763</v>
      </c>
      <c r="I186" s="24" t="s">
        <v>764</v>
      </c>
      <c r="J186" s="24" t="s">
        <v>17</v>
      </c>
    </row>
    <row r="187" ht="26" spans="1:10">
      <c r="A187" s="20">
        <v>10</v>
      </c>
      <c r="B187" s="21" t="s">
        <v>765</v>
      </c>
      <c r="C187" s="22" t="s">
        <v>766</v>
      </c>
      <c r="D187" s="23" t="s">
        <v>746</v>
      </c>
      <c r="E187" s="23" t="s">
        <v>13</v>
      </c>
      <c r="F187" s="23" t="s">
        <v>14</v>
      </c>
      <c r="G187" s="23">
        <v>60</v>
      </c>
      <c r="H187" s="24" t="s">
        <v>767</v>
      </c>
      <c r="I187" s="24" t="s">
        <v>768</v>
      </c>
      <c r="J187" s="24" t="s">
        <v>17</v>
      </c>
    </row>
    <row r="188" ht="26" spans="1:10">
      <c r="A188" s="20">
        <v>9.5</v>
      </c>
      <c r="B188" s="21" t="s">
        <v>769</v>
      </c>
      <c r="C188" s="22" t="s">
        <v>770</v>
      </c>
      <c r="D188" s="23" t="s">
        <v>746</v>
      </c>
      <c r="E188" s="23" t="s">
        <v>13</v>
      </c>
      <c r="F188" s="23" t="s">
        <v>64</v>
      </c>
      <c r="G188" s="23">
        <v>60</v>
      </c>
      <c r="H188" s="24" t="s">
        <v>771</v>
      </c>
      <c r="I188" s="24" t="s">
        <v>772</v>
      </c>
      <c r="J188" s="24" t="s">
        <v>17</v>
      </c>
    </row>
    <row r="189" ht="26" spans="1:10">
      <c r="A189" s="20">
        <v>9.75</v>
      </c>
      <c r="B189" s="21" t="s">
        <v>773</v>
      </c>
      <c r="C189" s="22" t="s">
        <v>774</v>
      </c>
      <c r="D189" s="23" t="s">
        <v>746</v>
      </c>
      <c r="E189" s="23" t="s">
        <v>13</v>
      </c>
      <c r="F189" s="23" t="s">
        <v>14</v>
      </c>
      <c r="G189" s="23">
        <v>60</v>
      </c>
      <c r="H189" s="24" t="s">
        <v>775</v>
      </c>
      <c r="I189" s="24" t="s">
        <v>776</v>
      </c>
      <c r="J189" s="24" t="s">
        <v>17</v>
      </c>
    </row>
    <row r="190" ht="26" spans="1:10">
      <c r="A190" s="20">
        <v>10</v>
      </c>
      <c r="B190" s="21" t="s">
        <v>777</v>
      </c>
      <c r="C190" s="22" t="s">
        <v>778</v>
      </c>
      <c r="D190" s="23" t="s">
        <v>746</v>
      </c>
      <c r="E190" s="23" t="s">
        <v>13</v>
      </c>
      <c r="F190" s="23" t="s">
        <v>14</v>
      </c>
      <c r="G190" s="23">
        <v>60</v>
      </c>
      <c r="H190" s="24" t="s">
        <v>779</v>
      </c>
      <c r="I190" s="24" t="s">
        <v>780</v>
      </c>
      <c r="J190" s="24" t="s">
        <v>17</v>
      </c>
    </row>
    <row r="191" ht="26" spans="1:10">
      <c r="A191" s="20">
        <v>9.5</v>
      </c>
      <c r="B191" s="21" t="s">
        <v>781</v>
      </c>
      <c r="C191" s="22" t="s">
        <v>782</v>
      </c>
      <c r="D191" s="23" t="s">
        <v>746</v>
      </c>
      <c r="E191" s="23" t="s">
        <v>13</v>
      </c>
      <c r="F191" s="23" t="s">
        <v>14</v>
      </c>
      <c r="G191" s="23">
        <v>60</v>
      </c>
      <c r="H191" s="24" t="s">
        <v>783</v>
      </c>
      <c r="I191" s="24" t="s">
        <v>784</v>
      </c>
      <c r="J191" s="24" t="s">
        <v>17</v>
      </c>
    </row>
    <row r="192" ht="26" spans="1:10">
      <c r="A192" s="20">
        <v>9.75</v>
      </c>
      <c r="B192" s="21" t="s">
        <v>785</v>
      </c>
      <c r="C192" s="22" t="s">
        <v>786</v>
      </c>
      <c r="D192" s="23" t="s">
        <v>746</v>
      </c>
      <c r="E192" s="23" t="s">
        <v>13</v>
      </c>
      <c r="F192" s="23" t="s">
        <v>14</v>
      </c>
      <c r="G192" s="23">
        <v>60</v>
      </c>
      <c r="H192" s="24" t="s">
        <v>787</v>
      </c>
      <c r="I192" s="24" t="s">
        <v>788</v>
      </c>
      <c r="J192" s="24" t="s">
        <v>17</v>
      </c>
    </row>
    <row r="193" ht="26" spans="1:10">
      <c r="A193" s="20">
        <v>10</v>
      </c>
      <c r="B193" s="21" t="s">
        <v>789</v>
      </c>
      <c r="C193" s="22" t="s">
        <v>790</v>
      </c>
      <c r="D193" s="23" t="s">
        <v>746</v>
      </c>
      <c r="E193" s="23" t="s">
        <v>13</v>
      </c>
      <c r="F193" s="23" t="s">
        <v>14</v>
      </c>
      <c r="G193" s="23">
        <v>60</v>
      </c>
      <c r="H193" s="24" t="s">
        <v>791</v>
      </c>
      <c r="I193" s="24" t="s">
        <v>792</v>
      </c>
      <c r="J193" s="24" t="s">
        <v>17</v>
      </c>
    </row>
    <row r="194" ht="26" spans="1:10">
      <c r="A194" s="20">
        <v>9.5</v>
      </c>
      <c r="B194" s="21" t="s">
        <v>793</v>
      </c>
      <c r="C194" s="22" t="s">
        <v>794</v>
      </c>
      <c r="D194" s="23" t="s">
        <v>746</v>
      </c>
      <c r="E194" s="23" t="s">
        <v>13</v>
      </c>
      <c r="F194" s="23" t="s">
        <v>14</v>
      </c>
      <c r="G194" s="23">
        <v>60</v>
      </c>
      <c r="H194" s="24" t="s">
        <v>795</v>
      </c>
      <c r="I194" s="24" t="s">
        <v>796</v>
      </c>
      <c r="J194" s="24" t="s">
        <v>17</v>
      </c>
    </row>
    <row r="195" ht="26" spans="1:10">
      <c r="A195" s="20">
        <v>9.75</v>
      </c>
      <c r="B195" s="21" t="s">
        <v>797</v>
      </c>
      <c r="C195" s="22" t="s">
        <v>798</v>
      </c>
      <c r="D195" s="23" t="s">
        <v>746</v>
      </c>
      <c r="E195" s="23" t="s">
        <v>13</v>
      </c>
      <c r="F195" s="23" t="s">
        <v>14</v>
      </c>
      <c r="G195" s="23">
        <v>60</v>
      </c>
      <c r="H195" s="24" t="s">
        <v>799</v>
      </c>
      <c r="I195" s="24" t="s">
        <v>800</v>
      </c>
      <c r="J195" s="24" t="s">
        <v>17</v>
      </c>
    </row>
    <row r="196" ht="26" spans="1:10">
      <c r="A196" s="20">
        <v>10</v>
      </c>
      <c r="B196" s="21" t="s">
        <v>801</v>
      </c>
      <c r="C196" s="22" t="s">
        <v>802</v>
      </c>
      <c r="D196" s="23" t="s">
        <v>746</v>
      </c>
      <c r="E196" s="23" t="s">
        <v>13</v>
      </c>
      <c r="F196" s="23" t="s">
        <v>14</v>
      </c>
      <c r="G196" s="23">
        <v>60</v>
      </c>
      <c r="H196" s="24" t="s">
        <v>803</v>
      </c>
      <c r="I196" s="24" t="s">
        <v>804</v>
      </c>
      <c r="J196" s="24" t="s">
        <v>17</v>
      </c>
    </row>
    <row r="197" ht="26" spans="1:10">
      <c r="A197" s="20">
        <v>9.5</v>
      </c>
      <c r="B197" s="21" t="s">
        <v>805</v>
      </c>
      <c r="C197" s="22" t="s">
        <v>806</v>
      </c>
      <c r="D197" s="23" t="s">
        <v>746</v>
      </c>
      <c r="E197" s="23" t="s">
        <v>13</v>
      </c>
      <c r="F197" s="23" t="s">
        <v>14</v>
      </c>
      <c r="G197" s="23">
        <v>60</v>
      </c>
      <c r="H197" s="24" t="s">
        <v>807</v>
      </c>
      <c r="I197" s="24" t="s">
        <v>808</v>
      </c>
      <c r="J197" s="24" t="s">
        <v>17</v>
      </c>
    </row>
    <row r="198" ht="26" spans="1:10">
      <c r="A198" s="20">
        <v>9.75</v>
      </c>
      <c r="B198" s="21" t="s">
        <v>809</v>
      </c>
      <c r="C198" s="22" t="s">
        <v>810</v>
      </c>
      <c r="D198" s="23" t="s">
        <v>746</v>
      </c>
      <c r="E198" s="23" t="s">
        <v>13</v>
      </c>
      <c r="F198" s="23" t="s">
        <v>14</v>
      </c>
      <c r="G198" s="23">
        <v>60</v>
      </c>
      <c r="H198" s="24" t="s">
        <v>811</v>
      </c>
      <c r="I198" s="24" t="s">
        <v>812</v>
      </c>
      <c r="J198" s="24" t="s">
        <v>17</v>
      </c>
    </row>
    <row r="199" ht="26" spans="1:10">
      <c r="A199" s="20">
        <v>10</v>
      </c>
      <c r="B199" s="21" t="s">
        <v>813</v>
      </c>
      <c r="C199" s="22" t="s">
        <v>814</v>
      </c>
      <c r="D199" s="23" t="s">
        <v>746</v>
      </c>
      <c r="E199" s="23" t="s">
        <v>13</v>
      </c>
      <c r="F199" s="23" t="s">
        <v>14</v>
      </c>
      <c r="G199" s="23">
        <v>60</v>
      </c>
      <c r="H199" s="24" t="s">
        <v>815</v>
      </c>
      <c r="I199" s="24" t="s">
        <v>816</v>
      </c>
      <c r="J199" s="24" t="s">
        <v>17</v>
      </c>
    </row>
    <row r="200" ht="26" spans="1:10">
      <c r="A200" s="20">
        <v>9.5</v>
      </c>
      <c r="B200" s="21" t="s">
        <v>817</v>
      </c>
      <c r="C200" s="22" t="s">
        <v>818</v>
      </c>
      <c r="D200" s="23" t="s">
        <v>819</v>
      </c>
      <c r="E200" s="23" t="s">
        <v>13</v>
      </c>
      <c r="F200" s="23" t="s">
        <v>14</v>
      </c>
      <c r="G200" s="23">
        <v>60</v>
      </c>
      <c r="H200" s="24" t="s">
        <v>820</v>
      </c>
      <c r="I200" s="24" t="s">
        <v>821</v>
      </c>
      <c r="J200" s="24" t="s">
        <v>17</v>
      </c>
    </row>
    <row r="201" ht="26" spans="1:10">
      <c r="A201" s="20">
        <v>9.75</v>
      </c>
      <c r="B201" s="21" t="s">
        <v>822</v>
      </c>
      <c r="C201" s="22" t="s">
        <v>823</v>
      </c>
      <c r="D201" s="23" t="s">
        <v>819</v>
      </c>
      <c r="E201" s="23" t="s">
        <v>13</v>
      </c>
      <c r="F201" s="23" t="s">
        <v>14</v>
      </c>
      <c r="G201" s="23">
        <v>60</v>
      </c>
      <c r="H201" s="24" t="s">
        <v>824</v>
      </c>
      <c r="I201" s="24" t="s">
        <v>825</v>
      </c>
      <c r="J201" s="24" t="s">
        <v>17</v>
      </c>
    </row>
    <row r="202" ht="26" spans="1:10">
      <c r="A202" s="20">
        <v>10</v>
      </c>
      <c r="B202" s="21" t="s">
        <v>826</v>
      </c>
      <c r="C202" s="22" t="s">
        <v>827</v>
      </c>
      <c r="D202" s="23" t="s">
        <v>819</v>
      </c>
      <c r="E202" s="23" t="s">
        <v>13</v>
      </c>
      <c r="F202" s="23" t="s">
        <v>14</v>
      </c>
      <c r="G202" s="23">
        <v>60</v>
      </c>
      <c r="H202" s="24" t="s">
        <v>828</v>
      </c>
      <c r="I202" s="24" t="s">
        <v>829</v>
      </c>
      <c r="J202" s="24" t="s">
        <v>17</v>
      </c>
    </row>
    <row r="203" ht="26" spans="1:10">
      <c r="A203" s="20">
        <v>9.5</v>
      </c>
      <c r="B203" s="21" t="s">
        <v>830</v>
      </c>
      <c r="C203" s="22" t="s">
        <v>831</v>
      </c>
      <c r="D203" s="23" t="s">
        <v>819</v>
      </c>
      <c r="E203" s="23" t="s">
        <v>13</v>
      </c>
      <c r="F203" s="23" t="s">
        <v>14</v>
      </c>
      <c r="G203" s="23">
        <v>60</v>
      </c>
      <c r="H203" s="24" t="s">
        <v>832</v>
      </c>
      <c r="I203" s="24" t="s">
        <v>833</v>
      </c>
      <c r="J203" s="24" t="s">
        <v>17</v>
      </c>
    </row>
    <row r="204" ht="26" spans="1:10">
      <c r="A204" s="20">
        <v>9.75</v>
      </c>
      <c r="B204" s="21" t="s">
        <v>834</v>
      </c>
      <c r="C204" s="22" t="s">
        <v>835</v>
      </c>
      <c r="D204" s="23" t="s">
        <v>819</v>
      </c>
      <c r="E204" s="23" t="s">
        <v>13</v>
      </c>
      <c r="F204" s="23" t="s">
        <v>14</v>
      </c>
      <c r="G204" s="23">
        <v>60</v>
      </c>
      <c r="H204" s="24" t="s">
        <v>836</v>
      </c>
      <c r="I204" s="24" t="s">
        <v>837</v>
      </c>
      <c r="J204" s="24" t="s">
        <v>17</v>
      </c>
    </row>
    <row r="205" ht="26" spans="1:10">
      <c r="A205" s="20">
        <v>10</v>
      </c>
      <c r="B205" s="21" t="s">
        <v>838</v>
      </c>
      <c r="C205" s="22" t="s">
        <v>839</v>
      </c>
      <c r="D205" s="23" t="s">
        <v>819</v>
      </c>
      <c r="E205" s="23" t="s">
        <v>13</v>
      </c>
      <c r="F205" s="23" t="s">
        <v>14</v>
      </c>
      <c r="G205" s="23">
        <v>60</v>
      </c>
      <c r="H205" s="24" t="s">
        <v>840</v>
      </c>
      <c r="I205" s="24" t="s">
        <v>841</v>
      </c>
      <c r="J205" s="24" t="s">
        <v>17</v>
      </c>
    </row>
    <row r="206" ht="26" spans="1:10">
      <c r="A206" s="20">
        <v>9.5</v>
      </c>
      <c r="B206" s="21" t="s">
        <v>842</v>
      </c>
      <c r="C206" s="22" t="s">
        <v>843</v>
      </c>
      <c r="D206" s="23" t="s">
        <v>819</v>
      </c>
      <c r="E206" s="23" t="s">
        <v>13</v>
      </c>
      <c r="F206" s="23" t="s">
        <v>14</v>
      </c>
      <c r="G206" s="23">
        <v>60</v>
      </c>
      <c r="H206" s="24" t="s">
        <v>844</v>
      </c>
      <c r="I206" s="24" t="s">
        <v>845</v>
      </c>
      <c r="J206" s="24" t="s">
        <v>17</v>
      </c>
    </row>
    <row r="207" ht="26" spans="1:10">
      <c r="A207" s="20">
        <v>9.75</v>
      </c>
      <c r="B207" s="21" t="s">
        <v>846</v>
      </c>
      <c r="C207" s="22" t="s">
        <v>847</v>
      </c>
      <c r="D207" s="23" t="s">
        <v>819</v>
      </c>
      <c r="E207" s="23" t="s">
        <v>13</v>
      </c>
      <c r="F207" s="23" t="s">
        <v>14</v>
      </c>
      <c r="G207" s="23">
        <v>60</v>
      </c>
      <c r="H207" s="24" t="s">
        <v>848</v>
      </c>
      <c r="I207" s="24" t="s">
        <v>849</v>
      </c>
      <c r="J207" s="24" t="s">
        <v>17</v>
      </c>
    </row>
    <row r="208" ht="26" spans="1:10">
      <c r="A208" s="20">
        <v>10</v>
      </c>
      <c r="B208" s="21" t="s">
        <v>850</v>
      </c>
      <c r="C208" s="22" t="s">
        <v>851</v>
      </c>
      <c r="D208" s="23" t="s">
        <v>819</v>
      </c>
      <c r="E208" s="23" t="s">
        <v>13</v>
      </c>
      <c r="F208" s="23" t="s">
        <v>14</v>
      </c>
      <c r="G208" s="23">
        <v>60</v>
      </c>
      <c r="H208" s="24" t="s">
        <v>852</v>
      </c>
      <c r="I208" s="24" t="s">
        <v>853</v>
      </c>
      <c r="J208" s="24" t="s">
        <v>17</v>
      </c>
    </row>
    <row r="209" ht="26" spans="1:10">
      <c r="A209" s="20">
        <v>9.5</v>
      </c>
      <c r="B209" s="21" t="s">
        <v>854</v>
      </c>
      <c r="C209" s="22" t="s">
        <v>855</v>
      </c>
      <c r="D209" s="23" t="s">
        <v>819</v>
      </c>
      <c r="E209" s="23" t="s">
        <v>13</v>
      </c>
      <c r="F209" s="23" t="s">
        <v>14</v>
      </c>
      <c r="G209" s="23">
        <v>60</v>
      </c>
      <c r="H209" s="24" t="s">
        <v>856</v>
      </c>
      <c r="I209" s="24" t="s">
        <v>857</v>
      </c>
      <c r="J209" s="24" t="s">
        <v>17</v>
      </c>
    </row>
    <row r="210" ht="26" spans="1:10">
      <c r="A210" s="20">
        <v>9.75</v>
      </c>
      <c r="B210" s="21" t="s">
        <v>858</v>
      </c>
      <c r="C210" s="22" t="s">
        <v>859</v>
      </c>
      <c r="D210" s="23" t="s">
        <v>819</v>
      </c>
      <c r="E210" s="23" t="s">
        <v>13</v>
      </c>
      <c r="F210" s="23" t="s">
        <v>14</v>
      </c>
      <c r="G210" s="23">
        <v>60</v>
      </c>
      <c r="H210" s="24" t="s">
        <v>860</v>
      </c>
      <c r="I210" s="24" t="s">
        <v>861</v>
      </c>
      <c r="J210" s="24" t="s">
        <v>17</v>
      </c>
    </row>
    <row r="211" ht="26" spans="1:10">
      <c r="A211" s="20">
        <v>10</v>
      </c>
      <c r="B211" s="21" t="s">
        <v>862</v>
      </c>
      <c r="C211" s="22" t="s">
        <v>863</v>
      </c>
      <c r="D211" s="23" t="s">
        <v>819</v>
      </c>
      <c r="E211" s="23" t="s">
        <v>13</v>
      </c>
      <c r="F211" s="23" t="s">
        <v>14</v>
      </c>
      <c r="G211" s="23">
        <v>60</v>
      </c>
      <c r="H211" s="24" t="s">
        <v>864</v>
      </c>
      <c r="I211" s="24" t="s">
        <v>865</v>
      </c>
      <c r="J211" s="24" t="s">
        <v>17</v>
      </c>
    </row>
    <row r="212" ht="26" spans="1:10">
      <c r="A212" s="20">
        <v>9.5</v>
      </c>
      <c r="B212" s="21" t="s">
        <v>866</v>
      </c>
      <c r="C212" s="22" t="s">
        <v>867</v>
      </c>
      <c r="D212" s="23" t="s">
        <v>819</v>
      </c>
      <c r="E212" s="23" t="s">
        <v>13</v>
      </c>
      <c r="F212" s="23" t="s">
        <v>14</v>
      </c>
      <c r="G212" s="23">
        <v>60</v>
      </c>
      <c r="H212" s="24" t="s">
        <v>868</v>
      </c>
      <c r="I212" s="24" t="s">
        <v>869</v>
      </c>
      <c r="J212" s="24" t="s">
        <v>17</v>
      </c>
    </row>
    <row r="213" ht="26" spans="1:10">
      <c r="A213" s="20">
        <v>9.75</v>
      </c>
      <c r="B213" s="21" t="s">
        <v>870</v>
      </c>
      <c r="C213" s="22" t="s">
        <v>871</v>
      </c>
      <c r="D213" s="23" t="s">
        <v>819</v>
      </c>
      <c r="E213" s="23" t="s">
        <v>13</v>
      </c>
      <c r="F213" s="23" t="s">
        <v>14</v>
      </c>
      <c r="G213" s="23">
        <v>60</v>
      </c>
      <c r="H213" s="24" t="s">
        <v>872</v>
      </c>
      <c r="I213" s="24" t="s">
        <v>873</v>
      </c>
      <c r="J213" s="24" t="s">
        <v>17</v>
      </c>
    </row>
    <row r="214" ht="26" spans="1:10">
      <c r="A214" s="20">
        <v>10</v>
      </c>
      <c r="B214" s="21" t="s">
        <v>874</v>
      </c>
      <c r="C214" s="22" t="s">
        <v>875</v>
      </c>
      <c r="D214" s="23" t="s">
        <v>819</v>
      </c>
      <c r="E214" s="23" t="s">
        <v>13</v>
      </c>
      <c r="F214" s="23" t="s">
        <v>14</v>
      </c>
      <c r="G214" s="23">
        <v>60</v>
      </c>
      <c r="H214" s="24" t="s">
        <v>876</v>
      </c>
      <c r="I214" s="24" t="s">
        <v>877</v>
      </c>
      <c r="J214" s="24" t="s">
        <v>17</v>
      </c>
    </row>
    <row r="215" ht="26" spans="1:10">
      <c r="A215" s="20">
        <v>9.5</v>
      </c>
      <c r="B215" s="21" t="s">
        <v>878</v>
      </c>
      <c r="C215" s="22" t="s">
        <v>879</v>
      </c>
      <c r="D215" s="23" t="s">
        <v>819</v>
      </c>
      <c r="E215" s="23" t="s">
        <v>13</v>
      </c>
      <c r="F215" s="23" t="s">
        <v>14</v>
      </c>
      <c r="G215" s="23">
        <v>60</v>
      </c>
      <c r="H215" s="24" t="s">
        <v>880</v>
      </c>
      <c r="I215" s="24" t="s">
        <v>881</v>
      </c>
      <c r="J215" s="24" t="s">
        <v>17</v>
      </c>
    </row>
    <row r="216" ht="26" spans="1:10">
      <c r="A216" s="20">
        <v>9.75</v>
      </c>
      <c r="B216" s="21" t="s">
        <v>882</v>
      </c>
      <c r="C216" s="22" t="s">
        <v>883</v>
      </c>
      <c r="D216" s="23" t="s">
        <v>819</v>
      </c>
      <c r="E216" s="23" t="s">
        <v>13</v>
      </c>
      <c r="F216" s="23" t="s">
        <v>14</v>
      </c>
      <c r="G216" s="23">
        <v>60</v>
      </c>
      <c r="H216" s="24" t="s">
        <v>884</v>
      </c>
      <c r="I216" s="24" t="s">
        <v>885</v>
      </c>
      <c r="J216" s="24" t="s">
        <v>17</v>
      </c>
    </row>
    <row r="217" ht="26" spans="1:10">
      <c r="A217" s="20">
        <v>10</v>
      </c>
      <c r="B217" s="21" t="s">
        <v>886</v>
      </c>
      <c r="C217" s="22" t="s">
        <v>887</v>
      </c>
      <c r="D217" s="23" t="s">
        <v>819</v>
      </c>
      <c r="E217" s="23" t="s">
        <v>13</v>
      </c>
      <c r="F217" s="23" t="s">
        <v>64</v>
      </c>
      <c r="G217" s="23">
        <v>60</v>
      </c>
      <c r="H217" s="24" t="s">
        <v>888</v>
      </c>
      <c r="I217" s="24" t="s">
        <v>889</v>
      </c>
      <c r="J217" s="24" t="s">
        <v>17</v>
      </c>
    </row>
  </sheetData>
  <conditionalFormatting sqref="A2:A217">
    <cfRule type="colorScale" priority="1">
      <colorScale>
        <cfvo type="min"/>
        <cfvo type="percentile" val="50"/>
        <cfvo type="max"/>
        <color rgb="FFFEE2E2"/>
        <color rgb="FFFEF3C7"/>
        <color rgb="FFDCFCE7"/>
      </colorScale>
    </cfRule>
  </conditionalFormatting>
  <conditionalFormatting sqref="E2:E217">
    <cfRule type="containsText" dxfId="0" priority="2" operator="between" text="否">
      <formula>NOT(ISERROR(SEARCH("否",E2)))</formula>
    </cfRule>
  </conditionalFormatting>
  <dataValidations count="2">
    <dataValidation type="whole" operator="between" sqref="A2:A217">
      <formula1>0</formula1>
      <formula2>10</formula2>
    </dataValidation>
    <dataValidation type="list" sqref="E2:E217">
      <formula1>"是,否"</formula1>
    </dataValidation>
  </dataValidations>
  <pageMargins left="0.7" right="0.7" top="0.75" bottom="0.75" header="0.3" footer="0.3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0"/>
  <sheetViews>
    <sheetView showGridLines="0" workbookViewId="0">
      <selection activeCell="C1" sqref="C1:F1"/>
    </sheetView>
  </sheetViews>
  <sheetFormatPr defaultColWidth="9" defaultRowHeight="14" outlineLevelCol="5"/>
  <cols>
    <col min="1" max="1" width="18" customWidth="1"/>
    <col min="2" max="2" width="82" customWidth="1"/>
  </cols>
  <sheetData>
    <row r="1" ht="42" customHeight="1" spans="1:6">
      <c r="A1" s="15" t="s">
        <v>890</v>
      </c>
      <c r="B1" s="15"/>
      <c r="C1" s="16"/>
      <c r="D1" s="16"/>
      <c r="E1" s="16"/>
      <c r="F1" s="16"/>
    </row>
    <row r="3" ht="38" customHeight="1" spans="1:6">
      <c r="A3" s="17" t="s">
        <v>891</v>
      </c>
      <c r="B3" s="18" t="s">
        <v>892</v>
      </c>
    </row>
    <row r="4" ht="38" customHeight="1" spans="1:6">
      <c r="A4" s="17" t="s">
        <v>893</v>
      </c>
      <c r="B4" s="18" t="s">
        <v>894</v>
      </c>
    </row>
    <row r="5" ht="38" customHeight="1" spans="1:6">
      <c r="A5" s="17" t="s">
        <v>895</v>
      </c>
      <c r="B5" s="18" t="s">
        <v>896</v>
      </c>
    </row>
    <row r="6" ht="38" customHeight="1" spans="1:6">
      <c r="A6" s="17" t="s">
        <v>897</v>
      </c>
      <c r="B6" s="18" t="s">
        <v>898</v>
      </c>
    </row>
    <row r="7" ht="38" customHeight="1" spans="1:6">
      <c r="A7" s="17" t="s">
        <v>899</v>
      </c>
      <c r="B7" s="18" t="s">
        <v>900</v>
      </c>
    </row>
    <row r="8" ht="38" customHeight="1" spans="1:6">
      <c r="A8" s="17" t="s">
        <v>901</v>
      </c>
      <c r="B8" s="18" t="s">
        <v>902</v>
      </c>
    </row>
    <row r="9" ht="38" customHeight="1" spans="1:6">
      <c r="A9" s="17" t="s">
        <v>903</v>
      </c>
      <c r="B9" s="18" t="s">
        <v>904</v>
      </c>
    </row>
    <row r="10" ht="38" customHeight="1" spans="1:6">
      <c r="A10" s="17" t="s">
        <v>905</v>
      </c>
      <c r="B10" s="18" t="s">
        <v>906</v>
      </c>
    </row>
  </sheetData>
  <mergeCells count="1">
    <mergeCell ref="A1:B1"/>
  </mergeCell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5"/>
  <sheetViews>
    <sheetView showGridLines="0" tabSelected="1" workbookViewId="0">
      <selection activeCell="A3" sqref="A3:E15"/>
    </sheetView>
  </sheetViews>
  <sheetFormatPr defaultColWidth="9" defaultRowHeight="14" outlineLevelCol="4"/>
  <cols>
    <col min="1" max="1" width="20" customWidth="1"/>
    <col min="2" max="5" width="18" customWidth="1"/>
  </cols>
  <sheetData>
    <row r="1" ht="42" customHeight="1" spans="1:5">
      <c r="A1" s="1" t="s">
        <v>907</v>
      </c>
      <c r="B1" s="1"/>
      <c r="C1" s="1"/>
      <c r="D1" s="1"/>
      <c r="E1" s="1"/>
    </row>
    <row r="3" spans="1:5">
      <c r="A3" s="2" t="s">
        <v>3</v>
      </c>
      <c r="B3" s="2" t="s">
        <v>908</v>
      </c>
      <c r="C3" s="2" t="s">
        <v>909</v>
      </c>
      <c r="D3" s="2" t="s">
        <v>910</v>
      </c>
      <c r="E3" s="2" t="s">
        <v>911</v>
      </c>
    </row>
    <row r="4" spans="1:5">
      <c r="A4" s="3" t="s">
        <v>12</v>
      </c>
      <c r="B4" s="4">
        <f>COUNTIF(参考指标!$D$2:$D$217,A4)</f>
        <v>18</v>
      </c>
      <c r="C4" s="4">
        <f>COUNTIFS(参考指标!$D$2:$D$217,A4,参考指标!$E$2:$E$217,"是")</f>
        <v>18</v>
      </c>
      <c r="D4" s="5">
        <f>AVERAGEIF(参考指标!$D$2:$D$217,A4,参考指标!$A$2:$A$217)</f>
        <v>7.25</v>
      </c>
      <c r="E4" s="6">
        <f>_xlfn.MAXIFS(参考指标!$A$2:$A$217,参考指标!$D$2:$D$217,A4)</f>
        <v>7.5</v>
      </c>
    </row>
    <row r="5" spans="1:5">
      <c r="A5" s="7" t="s">
        <v>89</v>
      </c>
      <c r="B5" s="8">
        <f>COUNTIF(参考指标!$D$2:$D$217,A5)</f>
        <v>18</v>
      </c>
      <c r="C5" s="8">
        <f>COUNTIFS(参考指标!$D$2:$D$217,A5,参考指标!$E$2:$E$217,"是")</f>
        <v>18</v>
      </c>
      <c r="D5" s="9">
        <f>AVERAGEIF(参考指标!$D$2:$D$217,A5,参考指标!$A$2:$A$217)</f>
        <v>6.25</v>
      </c>
      <c r="E5" s="10">
        <f>_xlfn.MAXIFS(参考指标!$A$2:$A$217,参考指标!$D$2:$D$217,A5)</f>
        <v>6.5</v>
      </c>
    </row>
    <row r="6" spans="1:5">
      <c r="A6" s="7" t="s">
        <v>162</v>
      </c>
      <c r="B6" s="8">
        <f>COUNTIF(参考指标!$D$2:$D$217,A6)</f>
        <v>18</v>
      </c>
      <c r="C6" s="8">
        <f>COUNTIFS(参考指标!$D$2:$D$217,A6,参考指标!$E$2:$E$217,"是")</f>
        <v>18</v>
      </c>
      <c r="D6" s="9">
        <f>AVERAGEIF(参考指标!$D$2:$D$217,A6,参考指标!$A$2:$A$217)</f>
        <v>8.25</v>
      </c>
      <c r="E6" s="10">
        <f>_xlfn.MAXIFS(参考指标!$A$2:$A$217,参考指标!$D$2:$D$217,A6)</f>
        <v>8.5</v>
      </c>
    </row>
    <row r="7" spans="1:5">
      <c r="A7" s="7" t="s">
        <v>235</v>
      </c>
      <c r="B7" s="8">
        <f>COUNTIF(参考指标!$D$2:$D$217,A7)</f>
        <v>18</v>
      </c>
      <c r="C7" s="8">
        <f>COUNTIFS(参考指标!$D$2:$D$217,A7,参考指标!$E$2:$E$217,"是")</f>
        <v>18</v>
      </c>
      <c r="D7" s="9">
        <f>AVERAGEIF(参考指标!$D$2:$D$217,A7,参考指标!$A$2:$A$217)</f>
        <v>6.75</v>
      </c>
      <c r="E7" s="10">
        <f>_xlfn.MAXIFS(参考指标!$A$2:$A$217,参考指标!$D$2:$D$217,A7)</f>
        <v>7</v>
      </c>
    </row>
    <row r="8" spans="1:5">
      <c r="A8" s="7" t="s">
        <v>308</v>
      </c>
      <c r="B8" s="8">
        <f>COUNTIF(参考指标!$D$2:$D$217,A8)</f>
        <v>18</v>
      </c>
      <c r="C8" s="8">
        <f>COUNTIFS(参考指标!$D$2:$D$217,A8,参考指标!$E$2:$E$217,"是")</f>
        <v>18</v>
      </c>
      <c r="D8" s="9">
        <f>AVERAGEIF(参考指标!$D$2:$D$217,A8,参考指标!$A$2:$A$217)</f>
        <v>9.25</v>
      </c>
      <c r="E8" s="10">
        <f>_xlfn.MAXIFS(参考指标!$A$2:$A$217,参考指标!$D$2:$D$217,A8)</f>
        <v>9.5</v>
      </c>
    </row>
    <row r="9" spans="1:5">
      <c r="A9" s="7" t="s">
        <v>381</v>
      </c>
      <c r="B9" s="8">
        <f>COUNTIF(参考指标!$D$2:$D$217,A9)</f>
        <v>18</v>
      </c>
      <c r="C9" s="8">
        <f>COUNTIFS(参考指标!$D$2:$D$217,A9,参考指标!$E$2:$E$217,"是")</f>
        <v>18</v>
      </c>
      <c r="D9" s="9">
        <f>AVERAGEIF(参考指标!$D$2:$D$217,A9,参考指标!$A$2:$A$217)</f>
        <v>8.25</v>
      </c>
      <c r="E9" s="10">
        <f>_xlfn.MAXIFS(参考指标!$A$2:$A$217,参考指标!$D$2:$D$217,A9)</f>
        <v>8.5</v>
      </c>
    </row>
    <row r="10" spans="1:5">
      <c r="A10" s="7" t="s">
        <v>454</v>
      </c>
      <c r="B10" s="8">
        <f>COUNTIF(参考指标!$D$2:$D$217,A10)</f>
        <v>18</v>
      </c>
      <c r="C10" s="8">
        <f>COUNTIFS(参考指标!$D$2:$D$217,A10,参考指标!$E$2:$E$217,"是")</f>
        <v>18</v>
      </c>
      <c r="D10" s="9">
        <f>AVERAGEIF(参考指标!$D$2:$D$217,A10,参考指标!$A$2:$A$217)</f>
        <v>8.75</v>
      </c>
      <c r="E10" s="10">
        <f>_xlfn.MAXIFS(参考指标!$A$2:$A$217,参考指标!$D$2:$D$217,A10)</f>
        <v>9</v>
      </c>
    </row>
    <row r="11" spans="1:5">
      <c r="A11" s="7" t="s">
        <v>527</v>
      </c>
      <c r="B11" s="8">
        <f>COUNTIF(参考指标!$D$2:$D$217,A11)</f>
        <v>18</v>
      </c>
      <c r="C11" s="8">
        <f>COUNTIFS(参考指标!$D$2:$D$217,A11,参考指标!$E$2:$E$217,"是")</f>
        <v>18</v>
      </c>
      <c r="D11" s="9">
        <f>AVERAGEIF(参考指标!$D$2:$D$217,A11,参考指标!$A$2:$A$217)</f>
        <v>7.25</v>
      </c>
      <c r="E11" s="10">
        <f>_xlfn.MAXIFS(参考指标!$A$2:$A$217,参考指标!$D$2:$D$217,A11)</f>
        <v>7.5</v>
      </c>
    </row>
    <row r="12" spans="1:5">
      <c r="A12" s="7" t="s">
        <v>600</v>
      </c>
      <c r="B12" s="8">
        <f>COUNTIF(参考指标!$D$2:$D$217,A12)</f>
        <v>18</v>
      </c>
      <c r="C12" s="8">
        <f>COUNTIFS(参考指标!$D$2:$D$217,A12,参考指标!$E$2:$E$217,"是")</f>
        <v>18</v>
      </c>
      <c r="D12" s="9">
        <f>AVERAGEIF(参考指标!$D$2:$D$217,A12,参考指标!$A$2:$A$217)</f>
        <v>9.25</v>
      </c>
      <c r="E12" s="10">
        <f>_xlfn.MAXIFS(参考指标!$A$2:$A$217,参考指标!$D$2:$D$217,A12)</f>
        <v>9.5</v>
      </c>
    </row>
    <row r="13" spans="1:5">
      <c r="A13" s="7" t="s">
        <v>673</v>
      </c>
      <c r="B13" s="8">
        <f>COUNTIF(参考指标!$D$2:$D$217,A13)</f>
        <v>18</v>
      </c>
      <c r="C13" s="8">
        <f>COUNTIFS(参考指标!$D$2:$D$217,A13,参考指标!$E$2:$E$217,"是")</f>
        <v>18</v>
      </c>
      <c r="D13" s="9">
        <f>AVERAGEIF(参考指标!$D$2:$D$217,A13,参考指标!$A$2:$A$217)</f>
        <v>9.25</v>
      </c>
      <c r="E13" s="10">
        <f>_xlfn.MAXIFS(参考指标!$A$2:$A$217,参考指标!$D$2:$D$217,A13)</f>
        <v>9.5</v>
      </c>
    </row>
    <row r="14" spans="1:5">
      <c r="A14" s="7" t="s">
        <v>746</v>
      </c>
      <c r="B14" s="8">
        <f>COUNTIF(参考指标!$D$2:$D$217,A14)</f>
        <v>18</v>
      </c>
      <c r="C14" s="8">
        <f>COUNTIFS(参考指标!$D$2:$D$217,A14,参考指标!$E$2:$E$217,"是")</f>
        <v>18</v>
      </c>
      <c r="D14" s="9">
        <f>AVERAGEIF(参考指标!$D$2:$D$217,A14,参考指标!$A$2:$A$217)</f>
        <v>9.75</v>
      </c>
      <c r="E14" s="10">
        <f>_xlfn.MAXIFS(参考指标!$A$2:$A$217,参考指标!$D$2:$D$217,A14)</f>
        <v>10</v>
      </c>
    </row>
    <row r="15" spans="1:5">
      <c r="A15" s="11" t="s">
        <v>819</v>
      </c>
      <c r="B15" s="12">
        <f>COUNTIF(参考指标!$D$2:$D$217,A15)</f>
        <v>18</v>
      </c>
      <c r="C15" s="12">
        <f>COUNTIFS(参考指标!$D$2:$D$217,A15,参考指标!$E$2:$E$217,"是")</f>
        <v>18</v>
      </c>
      <c r="D15" s="13">
        <f>AVERAGEIF(参考指标!$D$2:$D$217,A15,参考指标!$A$2:$A$217)</f>
        <v>9.75</v>
      </c>
      <c r="E15" s="14">
        <f>_xlfn.MAXIFS(参考指标!$A$2:$A$217,参考指标!$D$2:$D$217,A15)</f>
        <v>10</v>
      </c>
    </row>
  </sheetData>
  <mergeCells count="1">
    <mergeCell ref="A1:E1"/>
  </mergeCells>
  <conditionalFormatting sqref="D4:E15">
    <cfRule type="dataBar" priority="1">
      <dataBar>
        <cfvo type="min"/>
        <cfvo type="max"/>
        <color rgb="FFB33A4A"/>
      </dataBar>
      <extLst>
        <ext xmlns:x14="http://schemas.microsoft.com/office/spreadsheetml/2009/9/main" uri="{B025F937-C7B1-47D3-B67F-A62EFF666E3E}">
          <x14:id>{702b2729-61e3-41fe-bc88-027c5fccc974}</x14:id>
        </ext>
      </extLst>
    </cfRule>
  </conditionalFormatting>
  <pageMargins left="0.7" right="0.7" top="0.75" bottom="0.75" header="0.3" footer="0.3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02b2729-61e3-41fe-bc88-027c5fccc974}">
            <x14:dataBar minLength="10" maxLength="90" negativeBarColorSameAsPositive="1">
              <x14:cfvo type="min"/>
              <x14:cfvo type="max"/>
              <x14:axisColor indexed="65"/>
            </x14:dataBar>
          </x14:cfRule>
          <xm:sqref>D4:E15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参考指标</vt:lpstr>
      <vt:lpstr>使用说明</vt:lpstr>
      <vt:lpstr>类别概览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E=mc^2</cp:lastModifiedBy>
  <dcterms:created xsi:type="dcterms:W3CDTF">2026-07-16T02:44:57Z</dcterms:created>
  <dcterms:modified xsi:type="dcterms:W3CDTF">2026-07-16T02:46:03Z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53846173C5344A8B862DA0EB27E97C7F_12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